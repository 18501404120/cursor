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age中文" sheetId="1" state="visible" r:id="rId1"/>
    <sheet name="Storage原始"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1F2"/>
      </patternFill>
    </fill>
    <fill>
      <patternFill patternType="solid">
        <fgColor rgb="00E2F0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8"/>
  <sheetViews>
    <sheetView workbookViewId="0">
      <pane ySplit="9" topLeftCell="A10" activePane="bottomLeft" state="frozen"/>
      <selection pane="bottomLeft" activeCell="A1" sqref="A1"/>
    </sheetView>
  </sheetViews>
  <sheetFormatPr baseColWidth="8" defaultRowHeight="15"/>
  <cols>
    <col width="18" customWidth="1" min="1" max="1"/>
    <col width="16" customWidth="1" min="2" max="2"/>
    <col width="14" customWidth="1" min="3" max="3"/>
    <col width="45" customWidth="1" min="4" max="4"/>
    <col width="12" customWidth="1" min="5" max="5"/>
    <col width="12" customWidth="1" min="6" max="6"/>
    <col width="12" customWidth="1" min="7" max="7"/>
    <col width="12" customWidth="1" min="8" max="8"/>
    <col width="20" customWidth="1" min="9" max="9"/>
    <col width="20" customWidth="1" min="10" max="10"/>
    <col width="20" customWidth="1" min="11" max="11"/>
    <col width="18" customWidth="1" min="12" max="12"/>
    <col width="18" customWidth="1" min="13" max="13"/>
    <col width="18" customWidth="1" min="14" max="14"/>
    <col width="14" customWidth="1" min="15" max="15"/>
    <col width="14" customWidth="1" min="16" max="16"/>
    <col width="14" customWidth="1" min="17" max="17"/>
    <col width="14" customWidth="1" min="18" max="18"/>
  </cols>
  <sheetData>
    <row r="1">
      <c r="A1" s="1" t="inlineStr">
        <is>
          <t>店铺</t>
        </is>
      </c>
      <c r="B1" t="inlineStr">
        <is>
          <t>Govee Moments (US) Trading Limited</t>
        </is>
      </c>
    </row>
    <row r="2">
      <c r="A2" s="1" t="inlineStr">
        <is>
          <t>说明</t>
        </is>
      </c>
      <c r="B2" t="inlineStr">
        <is>
          <t>查看WFS仓储费及计算方式（原链接见原始文件）</t>
        </is>
      </c>
    </row>
    <row r="4">
      <c r="A4" s="2" t="inlineStr">
        <is>
          <t>报告开始日期</t>
        </is>
      </c>
      <c r="B4" s="2" t="inlineStr">
        <is>
          <t>报告结束日期</t>
        </is>
      </c>
      <c r="C4" s="2" t="inlineStr">
        <is>
          <t>总仓储费</t>
        </is>
      </c>
      <c r="D4" s="2" t="inlineStr">
        <is>
          <t>标准仓储费</t>
        </is>
      </c>
      <c r="E4" s="2" t="inlineStr">
        <is>
          <t>旺季仓储费</t>
        </is>
      </c>
      <c r="F4" s="2" t="inlineStr">
        <is>
          <t>长期仓储费</t>
        </is>
      </c>
    </row>
    <row r="5">
      <c r="A5" t="inlineStr">
        <is>
          <t>2026-05-12</t>
        </is>
      </c>
      <c r="B5" t="inlineStr">
        <is>
          <t>2026-06-10</t>
        </is>
      </c>
      <c r="C5" t="inlineStr">
        <is>
          <t>3307.49</t>
        </is>
      </c>
      <c r="D5" t="inlineStr">
        <is>
          <t>3248.411</t>
        </is>
      </c>
      <c r="E5" t="inlineStr">
        <is>
          <t>0.000</t>
        </is>
      </c>
      <c r="F5" t="inlineStr">
        <is>
          <t>59.074</t>
        </is>
      </c>
    </row>
    <row r="8">
      <c r="A8" s="2" t="inlineStr">
        <is>
          <t>GTIN</t>
        </is>
      </c>
      <c r="B8" s="2" t="inlineStr">
        <is>
          <t>SKU</t>
        </is>
      </c>
      <c r="C8" s="2" t="inlineStr">
        <is>
          <t>商品ID</t>
        </is>
      </c>
      <c r="D8" s="2" t="inlineStr">
        <is>
          <t>商品名称</t>
        </is>
      </c>
      <c r="E8" s="2" t="inlineStr">
        <is>
          <t>长度（英寸）</t>
        </is>
      </c>
      <c r="F8" s="2" t="inlineStr">
        <is>
          <t>宽度（英寸）</t>
        </is>
      </c>
      <c r="G8" s="2" t="inlineStr">
        <is>
          <t>高度（英寸）</t>
        </is>
      </c>
      <c r="H8" s="2" t="inlineStr">
        <is>
          <t>重量（磅）</t>
        </is>
      </c>
      <c r="I8" s="2" t="inlineStr">
        <is>
          <t>标准：单件日仓储费</t>
        </is>
      </c>
      <c r="J8" s="2" t="inlineStr">
        <is>
          <t>旺季：单件日仓储费</t>
        </is>
      </c>
      <c r="K8" s="2" t="inlineStr">
        <is>
          <t>长期：单件日仓储费</t>
        </is>
      </c>
      <c r="L8" s="2" t="inlineStr">
        <is>
          <t>标准：平均可用库存</t>
        </is>
      </c>
      <c r="M8" s="2" t="inlineStr">
        <is>
          <t>旺季：平均可用库存</t>
        </is>
      </c>
      <c r="N8" s="2" t="inlineStr">
        <is>
          <t>长期：平均可用库存</t>
        </is>
      </c>
      <c r="O8" s="2" t="inlineStr">
        <is>
          <t>报告期天数</t>
        </is>
      </c>
      <c r="P8" s="2" t="inlineStr">
        <is>
          <t>最终仓储费</t>
        </is>
      </c>
      <c r="Q8" s="2" t="inlineStr">
        <is>
          <t>原始金额</t>
        </is>
      </c>
      <c r="R8" s="2" t="inlineStr">
        <is>
          <t>折扣节省</t>
        </is>
      </c>
    </row>
    <row r="9">
      <c r="A9" s="3" t="inlineStr">
        <is>
          <t>14位全球贸易项目代码（含校验位），用于唯一标识商品；不足14位需前补0</t>
        </is>
      </c>
      <c r="B9" s="3" t="inlineStr">
        <is>
          <t>卖家自定义SKU编码</t>
        </is>
      </c>
      <c r="C9" s="3" t="inlineStr">
        <is>
          <t>沃尔玛分配的商品唯一标识</t>
        </is>
      </c>
      <c r="D9" s="3" t="inlineStr">
        <is>
          <t>商品标题</t>
        </is>
      </c>
      <c r="E9" s="3" t="inlineStr">
        <is>
          <t>履约中心测量的商品包装长度</t>
        </is>
      </c>
      <c r="F9" s="3" t="inlineStr">
        <is>
          <t>履约中心测量的商品包装宽度</t>
        </is>
      </c>
      <c r="G9" s="3" t="inlineStr">
        <is>
          <t>履约中心测量的商品包装高度</t>
        </is>
      </c>
      <c r="H9" s="3" t="inlineStr">
        <is>
          <t>履约中心测量的商品包装重量</t>
        </is>
      </c>
      <c r="I9" s="3" t="inlineStr">
        <is>
          <t>1-9月且库存库龄&lt;365天时的单件日费率</t>
        </is>
      </c>
      <c r="J9" s="3" t="inlineStr">
        <is>
          <t>10-12月旺季的单件日费率</t>
        </is>
      </c>
      <c r="K9" s="3" t="inlineStr">
        <is>
          <t>库存库龄&gt;365天时的单件日费率</t>
        </is>
      </c>
      <c r="L9" s="3" t="inlineStr">
        <is>
          <t>本报告期按标准仓储费计费的平均在库件数</t>
        </is>
      </c>
      <c r="M9" s="3" t="inlineStr">
        <is>
          <t>本报告期按旺季仓储费计费的平均在库件数</t>
        </is>
      </c>
      <c r="N9" s="3" t="inlineStr">
        <is>
          <t>本报告期按长期仓储费计费的平均在库件数</t>
        </is>
      </c>
      <c r="O9" s="3" t="inlineStr">
        <is>
          <t>用于计算最终仓储费的天数</t>
        </is>
      </c>
      <c r="P9" s="3" t="inlineStr">
        <is>
          <t>最终仓储费：各费率×平均库存×天数后再扣除折扣</t>
        </is>
      </c>
      <c r="Q9" s="3" t="inlineStr">
        <is>
          <t>未应用折扣前的总仓储费用</t>
        </is>
      </c>
      <c r="R9" s="3" t="inlineStr">
        <is>
          <t>折扣节省金额</t>
        </is>
      </c>
    </row>
    <row r="10">
      <c r="A10">
        <f>"00850061998583"</f>
        <v/>
      </c>
      <c r="B10" t="inlineStr">
        <is>
          <t>H60B0A11</t>
        </is>
      </c>
      <c r="C10" t="inlineStr">
        <is>
          <t>17115018059</t>
        </is>
      </c>
      <c r="D10" t="inlineStr">
        <is>
          <t>Govee Floor Lamp RGBIC Ripple Projector Modern Style - LED, Dimmable, 1000lm, White</t>
        </is>
      </c>
      <c r="E10" t="inlineStr">
        <is>
          <t>21.700</t>
        </is>
      </c>
      <c r="F10" t="inlineStr">
        <is>
          <t>18.850</t>
        </is>
      </c>
      <c r="G10" t="inlineStr">
        <is>
          <t>8.250</t>
        </is>
      </c>
      <c r="H10" t="inlineStr">
        <is>
          <t>12.880</t>
        </is>
      </c>
      <c r="I10" t="inlineStr">
        <is>
          <t>0.048823</t>
        </is>
      </c>
      <c r="J10" t="inlineStr">
        <is>
          <t>0.048823</t>
        </is>
      </c>
      <c r="K10" t="inlineStr">
        <is>
          <t>0.146468</t>
        </is>
      </c>
      <c r="L10" t="inlineStr">
        <is>
          <t>237.500</t>
        </is>
      </c>
      <c r="M10" t="inlineStr">
        <is>
          <t>0.000</t>
        </is>
      </c>
      <c r="N10" t="inlineStr">
        <is>
          <t>0.000</t>
        </is>
      </c>
      <c r="O10" t="inlineStr">
        <is>
          <t>30</t>
        </is>
      </c>
      <c r="P10" t="inlineStr">
        <is>
          <t>71.99213</t>
        </is>
      </c>
      <c r="Q10" t="inlineStr">
        <is>
          <t>131.09508</t>
        </is>
      </c>
      <c r="R10" t="inlineStr">
        <is>
          <t>59.10295</t>
        </is>
      </c>
    </row>
    <row r="11">
      <c r="A11">
        <f>"00850076077181"</f>
        <v/>
      </c>
      <c r="B11" t="inlineStr">
        <is>
          <t>H70381B1</t>
        </is>
      </c>
      <c r="C11" t="inlineStr">
        <is>
          <t>17601722166</t>
        </is>
      </c>
      <c r="D11" t="inlineStr">
        <is>
          <t>Govee Smart Outdoor String Lights 2, 96ft,RGBIC, Dimmable Warm White, 47 Scenes, IP65, Alexa,App Control</t>
        </is>
      </c>
      <c r="E11" t="inlineStr">
        <is>
          <t>14.600</t>
        </is>
      </c>
      <c r="F11" t="inlineStr">
        <is>
          <t>16.450</t>
        </is>
      </c>
      <c r="G11" t="inlineStr">
        <is>
          <t>11.200</t>
        </is>
      </c>
      <c r="H11" t="inlineStr">
        <is>
          <t>5.150</t>
        </is>
      </c>
      <c r="I11" t="inlineStr">
        <is>
          <t>0.038916</t>
        </is>
      </c>
      <c r="J11" t="inlineStr">
        <is>
          <t>0.038916</t>
        </is>
      </c>
      <c r="K11" t="inlineStr">
        <is>
          <t>0.116749</t>
        </is>
      </c>
      <c r="L11" t="inlineStr">
        <is>
          <t>99.167</t>
        </is>
      </c>
      <c r="M11" t="inlineStr">
        <is>
          <t>0.000</t>
        </is>
      </c>
      <c r="N11" t="inlineStr">
        <is>
          <t>0.000</t>
        </is>
      </c>
      <c r="O11" t="inlineStr">
        <is>
          <t>30</t>
        </is>
      </c>
      <c r="P11" t="inlineStr">
        <is>
          <t>115.77639</t>
        </is>
      </c>
      <c r="Q11" t="inlineStr">
        <is>
          <t>115.77639</t>
        </is>
      </c>
      <c r="R11" t="inlineStr">
        <is>
          <t>0.00000</t>
        </is>
      </c>
    </row>
    <row r="12">
      <c r="A12">
        <f>"00850061998361"</f>
        <v/>
      </c>
      <c r="B12" t="inlineStr">
        <is>
          <t>H8630A81</t>
        </is>
      </c>
      <c r="C12" t="inlineStr">
        <is>
          <t>17037251446</t>
        </is>
      </c>
      <c r="D12" t="inlineStr">
        <is>
          <t>Govee Smart Pixel LED Gaming Light for Desk, 150+ Scene Modes &amp; DIY, Works with Alexa, Ideal for Game Room Decor, 32x32 Pixels</t>
        </is>
      </c>
      <c r="E12" t="inlineStr">
        <is>
          <t>4.700</t>
        </is>
      </c>
      <c r="F12" t="inlineStr">
        <is>
          <t>8.000</t>
        </is>
      </c>
      <c r="G12" t="inlineStr">
        <is>
          <t>8.450</t>
        </is>
      </c>
      <c r="H12" t="inlineStr">
        <is>
          <t>2.075</t>
        </is>
      </c>
      <c r="I12" t="inlineStr">
        <is>
          <t>0.004597</t>
        </is>
      </c>
      <c r="J12" t="inlineStr">
        <is>
          <t>0.004597</t>
        </is>
      </c>
      <c r="K12" t="inlineStr">
        <is>
          <t>0.013790</t>
        </is>
      </c>
      <c r="L12" t="inlineStr">
        <is>
          <t>19.433</t>
        </is>
      </c>
      <c r="M12" t="inlineStr">
        <is>
          <t>0.000</t>
        </is>
      </c>
      <c r="N12" t="inlineStr">
        <is>
          <t>0.000</t>
        </is>
      </c>
      <c r="O12" t="inlineStr">
        <is>
          <t>30</t>
        </is>
      </c>
      <c r="P12" t="inlineStr">
        <is>
          <t>2.67984</t>
        </is>
      </c>
      <c r="Q12" t="inlineStr">
        <is>
          <t>2.67984</t>
        </is>
      </c>
      <c r="R12" t="inlineStr">
        <is>
          <t>0.00000</t>
        </is>
      </c>
    </row>
    <row r="13">
      <c r="A13">
        <f>"00850034049373"</f>
        <v/>
      </c>
      <c r="B13" t="inlineStr">
        <is>
          <t>B6062A01</t>
        </is>
      </c>
      <c r="C13" t="inlineStr">
        <is>
          <t>1434433379</t>
        </is>
      </c>
      <c r="D13" t="inlineStr">
        <is>
          <t>Govee Glide A1 Indoor Smart LED Wall Lights (4+1) , B6062A01, 40 Dynamic Scene Modes For Gaming Room Decor,Support APP Control,Voice Control</t>
        </is>
      </c>
      <c r="E13" t="inlineStr">
        <is>
          <t>6.200</t>
        </is>
      </c>
      <c r="F13" t="inlineStr">
        <is>
          <t>14.000</t>
        </is>
      </c>
      <c r="G13" t="inlineStr">
        <is>
          <t>2.450</t>
        </is>
      </c>
      <c r="H13" t="inlineStr">
        <is>
          <t>2.025</t>
        </is>
      </c>
      <c r="I13" t="inlineStr">
        <is>
          <t>0.003077</t>
        </is>
      </c>
      <c r="J13" t="inlineStr">
        <is>
          <t>0.003077</t>
        </is>
      </c>
      <c r="K13" t="inlineStr">
        <is>
          <t>0.009230</t>
        </is>
      </c>
      <c r="L13" t="inlineStr">
        <is>
          <t>0.267</t>
        </is>
      </c>
      <c r="M13" t="inlineStr">
        <is>
          <t>0.000</t>
        </is>
      </c>
      <c r="N13" t="inlineStr">
        <is>
          <t>0.000</t>
        </is>
      </c>
      <c r="O13" t="inlineStr">
        <is>
          <t>30</t>
        </is>
      </c>
      <c r="P13" t="inlineStr">
        <is>
          <t>0.02461</t>
        </is>
      </c>
      <c r="Q13" t="inlineStr">
        <is>
          <t>0.02461</t>
        </is>
      </c>
      <c r="R13" t="inlineStr">
        <is>
          <t>0.00000</t>
        </is>
      </c>
    </row>
    <row r="14">
      <c r="A14">
        <f>"00850061998187"</f>
        <v/>
      </c>
      <c r="B14" t="inlineStr">
        <is>
          <t>H7078AD1</t>
        </is>
      </c>
      <c r="C14" t="inlineStr">
        <is>
          <t>13477259156</t>
        </is>
      </c>
      <c r="D14" t="inlineStr">
        <is>
          <t>Govee Smart Outdoor Wall Light For House, LED Multicolor Dimmable, IP65 Waterproof, Wi-Fi Control,Corded Electric, 1 Pack</t>
        </is>
      </c>
      <c r="E14" t="inlineStr">
        <is>
          <t>6.700</t>
        </is>
      </c>
      <c r="F14" t="inlineStr">
        <is>
          <t>15.750</t>
        </is>
      </c>
      <c r="G14" t="inlineStr">
        <is>
          <t>4.900</t>
        </is>
      </c>
      <c r="H14" t="inlineStr">
        <is>
          <t>3.610</t>
        </is>
      </c>
      <c r="I14" t="inlineStr">
        <is>
          <t>0.007481</t>
        </is>
      </c>
      <c r="J14" t="inlineStr">
        <is>
          <t>0.007481</t>
        </is>
      </c>
      <c r="K14" t="inlineStr">
        <is>
          <t>0.022442</t>
        </is>
      </c>
      <c r="L14" t="inlineStr">
        <is>
          <t>2.900</t>
        </is>
      </c>
      <c r="M14" t="inlineStr">
        <is>
          <t>0.000</t>
        </is>
      </c>
      <c r="N14" t="inlineStr">
        <is>
          <t>47.367</t>
        </is>
      </c>
      <c r="O14" t="inlineStr">
        <is>
          <t>30</t>
        </is>
      </c>
      <c r="P14" t="inlineStr">
        <is>
          <t>32.26093</t>
        </is>
      </c>
      <c r="Q14" t="inlineStr">
        <is>
          <t>32.54146</t>
        </is>
      </c>
      <c r="R14" t="inlineStr">
        <is>
          <t>0.28053</t>
        </is>
      </c>
    </row>
    <row r="15">
      <c r="A15">
        <f>"00850061998903"</f>
        <v/>
      </c>
      <c r="B15" t="inlineStr">
        <is>
          <t>A806A001</t>
        </is>
      </c>
      <c r="C15" t="inlineStr">
        <is>
          <t>19686465572</t>
        </is>
      </c>
      <c r="D15" t="inlineStr">
        <is>
          <t>Govee White Permanent Outdoor Lights Pro ExpansionString</t>
        </is>
      </c>
      <c r="E15" t="inlineStr">
        <is>
          <t>6.850</t>
        </is>
      </c>
      <c r="F15" t="inlineStr">
        <is>
          <t>6.050</t>
        </is>
      </c>
      <c r="G15" t="inlineStr">
        <is>
          <t>2.700</t>
        </is>
      </c>
      <c r="H15" t="inlineStr">
        <is>
          <t>1.000</t>
        </is>
      </c>
      <c r="I15" t="inlineStr">
        <is>
          <t>0.001619</t>
        </is>
      </c>
      <c r="J15" t="inlineStr">
        <is>
          <t>0.001619</t>
        </is>
      </c>
      <c r="K15" t="inlineStr">
        <is>
          <t>0.004857</t>
        </is>
      </c>
      <c r="L15" t="inlineStr">
        <is>
          <t>183.133</t>
        </is>
      </c>
      <c r="M15" t="inlineStr">
        <is>
          <t>0.000</t>
        </is>
      </c>
      <c r="N15" t="inlineStr">
        <is>
          <t>0.000</t>
        </is>
      </c>
      <c r="O15" t="inlineStr">
        <is>
          <t>30</t>
        </is>
      </c>
      <c r="P15" t="inlineStr">
        <is>
          <t>8.89395</t>
        </is>
      </c>
      <c r="Q15" t="inlineStr">
        <is>
          <t>8.89395</t>
        </is>
      </c>
      <c r="R15" t="inlineStr">
        <is>
          <t>0.00000</t>
        </is>
      </c>
    </row>
    <row r="16">
      <c r="A16">
        <f>"00850034049410"</f>
        <v/>
      </c>
      <c r="B16" t="inlineStr">
        <is>
          <t>H805AA11</t>
        </is>
      </c>
      <c r="C16" t="inlineStr">
        <is>
          <t>14961722303</t>
        </is>
      </c>
      <c r="D16" t="inlineStr">
        <is>
          <t>Govee Permanent Outdoor Light 2 (Elite), RGBICW 16 Million Colors Outside Lights with 100 preset modes,IP67 Waterproof,Holiday Decorations For Christmas,Google,Alexa Support,100ft,Black</t>
        </is>
      </c>
      <c r="E16" t="inlineStr">
        <is>
          <t>14.750</t>
        </is>
      </c>
      <c r="F16" t="inlineStr">
        <is>
          <t>8.950</t>
        </is>
      </c>
      <c r="G16" t="inlineStr">
        <is>
          <t>6.200</t>
        </is>
      </c>
      <c r="H16" t="inlineStr">
        <is>
          <t>7.615</t>
        </is>
      </c>
      <c r="I16" t="inlineStr">
        <is>
          <t>0.011841</t>
        </is>
      </c>
      <c r="J16" t="inlineStr">
        <is>
          <t>0.011841</t>
        </is>
      </c>
      <c r="K16" t="inlineStr">
        <is>
          <t>0.035524</t>
        </is>
      </c>
      <c r="L16" t="inlineStr">
        <is>
          <t>263.833</t>
        </is>
      </c>
      <c r="M16" t="inlineStr">
        <is>
          <t>0.000</t>
        </is>
      </c>
      <c r="N16" t="inlineStr">
        <is>
          <t>0.000</t>
        </is>
      </c>
      <c r="O16" t="inlineStr">
        <is>
          <t>30</t>
        </is>
      </c>
      <c r="P16" t="inlineStr">
        <is>
          <t>53.43431</t>
        </is>
      </c>
      <c r="Q16" t="inlineStr">
        <is>
          <t>93.72467</t>
        </is>
      </c>
      <c r="R16" t="inlineStr">
        <is>
          <t>40.29036</t>
        </is>
      </c>
    </row>
    <row r="17">
      <c r="A17">
        <f>"00850061998026"</f>
        <v/>
      </c>
      <c r="B17" t="inlineStr">
        <is>
          <t>B801CAC3</t>
        </is>
      </c>
      <c r="C17" t="inlineStr">
        <is>
          <t>13476521213</t>
        </is>
      </c>
      <c r="D17" t="inlineStr">
        <is>
          <t>Govee Smart 6'' LED Retrofit Recessed Can Lights for Indoor Living Room, Ceiling Light, Dimmable, Color Changing, LED Light Bulbs, 4 Pack</t>
        </is>
      </c>
      <c r="E17" t="inlineStr">
        <is>
          <t>9.050</t>
        </is>
      </c>
      <c r="F17" t="inlineStr">
        <is>
          <t>15.050</t>
        </is>
      </c>
      <c r="G17" t="inlineStr">
        <is>
          <t>7.800</t>
        </is>
      </c>
      <c r="H17" t="inlineStr">
        <is>
          <t>4.570</t>
        </is>
      </c>
      <c r="I17" t="inlineStr">
        <is>
          <t>0.015370</t>
        </is>
      </c>
      <c r="J17" t="inlineStr">
        <is>
          <t>0.015370</t>
        </is>
      </c>
      <c r="K17" t="inlineStr">
        <is>
          <t>0.046110</t>
        </is>
      </c>
      <c r="L17" t="inlineStr">
        <is>
          <t>33.733</t>
        </is>
      </c>
      <c r="M17" t="inlineStr">
        <is>
          <t>0.000</t>
        </is>
      </c>
      <c r="N17" t="inlineStr">
        <is>
          <t>0.000</t>
        </is>
      </c>
      <c r="O17" t="inlineStr">
        <is>
          <t>30</t>
        </is>
      </c>
      <c r="P17" t="inlineStr">
        <is>
          <t>15.55451</t>
        </is>
      </c>
      <c r="Q17" t="inlineStr">
        <is>
          <t>15.55451</t>
        </is>
      </c>
      <c r="R17" t="inlineStr">
        <is>
          <t>0.00000</t>
        </is>
      </c>
    </row>
    <row r="18">
      <c r="A18">
        <f>"00850034049397"</f>
        <v/>
      </c>
      <c r="B18" t="inlineStr">
        <is>
          <t>H6172AD1</t>
        </is>
      </c>
      <c r="C18" t="inlineStr">
        <is>
          <t>1041721238</t>
        </is>
      </c>
      <c r="D18" t="inlineStr">
        <is>
          <t>Govee 32.8ft RGBIC Outdoor LED Strip Light with Warm and Cold White, WiFi Smart Lights Outdoor, IP65 Waterproof, Work with Alexa and Google Assistant, Remote Control</t>
        </is>
      </c>
      <c r="E18" t="inlineStr">
        <is>
          <t>10.700</t>
        </is>
      </c>
      <c r="F18" t="inlineStr">
        <is>
          <t>10.450</t>
        </is>
      </c>
      <c r="G18" t="inlineStr">
        <is>
          <t>3.000</t>
        </is>
      </c>
      <c r="H18" t="inlineStr">
        <is>
          <t>2.320</t>
        </is>
      </c>
      <c r="I18" t="inlineStr">
        <is>
          <t>0.004853</t>
        </is>
      </c>
      <c r="J18" t="inlineStr">
        <is>
          <t>0.004853</t>
        </is>
      </c>
      <c r="K18" t="inlineStr">
        <is>
          <t>0.014559</t>
        </is>
      </c>
      <c r="L18" t="inlineStr">
        <is>
          <t>94.500</t>
        </is>
      </c>
      <c r="M18" t="inlineStr">
        <is>
          <t>0.000</t>
        </is>
      </c>
      <c r="N18" t="inlineStr">
        <is>
          <t>0.000</t>
        </is>
      </c>
      <c r="O18" t="inlineStr">
        <is>
          <t>30</t>
        </is>
      </c>
      <c r="P18" t="inlineStr">
        <is>
          <t>7.85957</t>
        </is>
      </c>
      <c r="Q18" t="inlineStr">
        <is>
          <t>13.75849</t>
        </is>
      </c>
      <c r="R18" t="inlineStr">
        <is>
          <t>5.89892</t>
        </is>
      </c>
    </row>
    <row r="19">
      <c r="A19">
        <f>"00850034049601"</f>
        <v/>
      </c>
      <c r="B19" t="inlineStr">
        <is>
          <t>B605DA11</t>
        </is>
      </c>
      <c r="C19" t="inlineStr">
        <is>
          <t>1501010194</t>
        </is>
      </c>
      <c r="D19" t="inlineStr">
        <is>
          <t>Govee T1 Pro RGBICWW TV Light Kit With Camera,1080p Color sense Camera, LED TV backlights, and 2 LED RGB light bars, Individual Control of LED Groups,Voice And APP Control,Home Theatre,55-65 Inch TVs</t>
        </is>
      </c>
      <c r="E19" t="inlineStr">
        <is>
          <t>11.700</t>
        </is>
      </c>
      <c r="F19" t="inlineStr">
        <is>
          <t>7.150</t>
        </is>
      </c>
      <c r="G19" t="inlineStr">
        <is>
          <t>5.350</t>
        </is>
      </c>
      <c r="H19" t="inlineStr">
        <is>
          <t>2.780</t>
        </is>
      </c>
      <c r="I19" t="inlineStr">
        <is>
          <t>0.006475</t>
        </is>
      </c>
      <c r="J19" t="inlineStr">
        <is>
          <t>0.006475</t>
        </is>
      </c>
      <c r="K19" t="inlineStr">
        <is>
          <t>0.019425</t>
        </is>
      </c>
      <c r="L19" t="inlineStr">
        <is>
          <t>28.867</t>
        </is>
      </c>
      <c r="M19" t="inlineStr">
        <is>
          <t>0.000</t>
        </is>
      </c>
      <c r="N19" t="inlineStr">
        <is>
          <t>0.000</t>
        </is>
      </c>
      <c r="O19" t="inlineStr">
        <is>
          <t>30</t>
        </is>
      </c>
      <c r="P19" t="inlineStr">
        <is>
          <t>5.60738</t>
        </is>
      </c>
      <c r="Q19" t="inlineStr">
        <is>
          <t>5.60738</t>
        </is>
      </c>
      <c r="R19" t="inlineStr">
        <is>
          <t>0.00000</t>
        </is>
      </c>
    </row>
    <row r="20">
      <c r="A20">
        <f>"00810211390575"</f>
        <v/>
      </c>
      <c r="B20" t="inlineStr">
        <is>
          <t>H7046111</t>
        </is>
      </c>
      <c r="C20" t="inlineStr">
        <is>
          <t>19425161408</t>
        </is>
      </c>
      <c r="D20" t="inlineStr">
        <is>
          <t>Govee Outdoor Chromatic String Lights, 65.6ft RGB Outdoor Lights with 55 Uni-ic Control LED Bulbs, 111+ Scene Modes of String lights, IP67 Waterproof compatible with Alexa, Google, Matter, App Contro</t>
        </is>
      </c>
      <c r="E20" t="inlineStr">
        <is>
          <t>15.200</t>
        </is>
      </c>
      <c r="F20" t="inlineStr">
        <is>
          <t>18.750</t>
        </is>
      </c>
      <c r="G20" t="inlineStr">
        <is>
          <t>8.450</t>
        </is>
      </c>
      <c r="H20" t="inlineStr">
        <is>
          <t>12.230</t>
        </is>
      </c>
      <c r="I20" t="inlineStr">
        <is>
          <t>0.034842</t>
        </is>
      </c>
      <c r="J20" t="inlineStr">
        <is>
          <t>0.034842</t>
        </is>
      </c>
      <c r="K20" t="inlineStr">
        <is>
          <t>0.104525</t>
        </is>
      </c>
      <c r="L20" t="inlineStr">
        <is>
          <t>41.167</t>
        </is>
      </c>
      <c r="M20" t="inlineStr">
        <is>
          <t>0.000</t>
        </is>
      </c>
      <c r="N20" t="inlineStr">
        <is>
          <t>0.000</t>
        </is>
      </c>
      <c r="O20" t="inlineStr">
        <is>
          <t>30</t>
        </is>
      </c>
      <c r="P20" t="inlineStr">
        <is>
          <t>24.85947</t>
        </is>
      </c>
      <c r="Q20" t="inlineStr">
        <is>
          <t>43.02935</t>
        </is>
      </c>
      <c r="R20" t="inlineStr">
        <is>
          <t>18.16988</t>
        </is>
      </c>
    </row>
    <row r="21">
      <c r="A21">
        <f>"00850076077716"</f>
        <v/>
      </c>
      <c r="B21" t="inlineStr">
        <is>
          <t>H702B111</t>
        </is>
      </c>
      <c r="C21" t="inlineStr">
        <is>
          <t>17852921839</t>
        </is>
      </c>
      <c r="D21" t="inlineStr">
        <is>
          <t>Govee 96ft Smart Outdoor S14 Bulb String Lights 2</t>
        </is>
      </c>
      <c r="E21" t="inlineStr">
        <is>
          <t>14.450</t>
        </is>
      </c>
      <c r="F21" t="inlineStr">
        <is>
          <t>18.050</t>
        </is>
      </c>
      <c r="G21" t="inlineStr">
        <is>
          <t>6.150</t>
        </is>
      </c>
      <c r="H21" t="inlineStr">
        <is>
          <t>5.160</t>
        </is>
      </c>
      <c r="I21" t="inlineStr">
        <is>
          <t>0.023207</t>
        </is>
      </c>
      <c r="J21" t="inlineStr">
        <is>
          <t>0.023207</t>
        </is>
      </c>
      <c r="K21" t="inlineStr">
        <is>
          <t>0.069621</t>
        </is>
      </c>
      <c r="L21" t="inlineStr">
        <is>
          <t>95.333</t>
        </is>
      </c>
      <c r="M21" t="inlineStr">
        <is>
          <t>0.000</t>
        </is>
      </c>
      <c r="N21" t="inlineStr">
        <is>
          <t>0.000</t>
        </is>
      </c>
      <c r="O21" t="inlineStr">
        <is>
          <t>30</t>
        </is>
      </c>
      <c r="P21" t="inlineStr">
        <is>
          <t>38.03605</t>
        </is>
      </c>
      <c r="Q21" t="inlineStr">
        <is>
          <t>66.37163</t>
        </is>
      </c>
      <c r="R21" t="inlineStr">
        <is>
          <t>28.33558</t>
        </is>
      </c>
    </row>
    <row r="22">
      <c r="A22">
        <f>"00810211390353"</f>
        <v/>
      </c>
      <c r="B22" t="inlineStr">
        <is>
          <t>H16B0111</t>
        </is>
      </c>
      <c r="C22" t="inlineStr">
        <is>
          <t>19964763585</t>
        </is>
      </c>
      <c r="D22" t="inlineStr">
        <is>
          <t>Govee Floor Lamp 3 with Luminblend+ Technology, 2100lm Standing Lamp, Work with Matter,1000K-10000K Modern Floor Lamps for Living Room, Bedroom, Office, Corner Lamp with Dynamic Scenes, DaySync</t>
        </is>
      </c>
      <c r="E22" t="inlineStr">
        <is>
          <t>19.750</t>
        </is>
      </c>
      <c r="F22" t="inlineStr">
        <is>
          <t>11.500</t>
        </is>
      </c>
      <c r="G22" t="inlineStr">
        <is>
          <t>7.050</t>
        </is>
      </c>
      <c r="H22" t="inlineStr">
        <is>
          <t>7.710</t>
        </is>
      </c>
      <c r="I22" t="inlineStr">
        <is>
          <t>0.023166</t>
        </is>
      </c>
      <c r="J22" t="inlineStr">
        <is>
          <t>0.023166</t>
        </is>
      </c>
      <c r="K22" t="inlineStr">
        <is>
          <t>0.069498</t>
        </is>
      </c>
      <c r="L22" t="inlineStr">
        <is>
          <t>10.833</t>
        </is>
      </c>
      <c r="M22" t="inlineStr">
        <is>
          <t>0.000</t>
        </is>
      </c>
      <c r="N22" t="inlineStr">
        <is>
          <t>0.000</t>
        </is>
      </c>
      <c r="O22" t="inlineStr">
        <is>
          <t>30</t>
        </is>
      </c>
      <c r="P22" t="inlineStr">
        <is>
          <t>5.24709</t>
        </is>
      </c>
      <c r="Q22" t="inlineStr">
        <is>
          <t>7.52894</t>
        </is>
      </c>
      <c r="R22" t="inlineStr">
        <is>
          <t>2.28185</t>
        </is>
      </c>
    </row>
    <row r="23">
      <c r="A23">
        <f>"00810211390971"</f>
        <v/>
      </c>
      <c r="B23" t="inlineStr">
        <is>
          <t>H2A40111</t>
        </is>
      </c>
      <c r="C23" t="inlineStr">
        <is>
          <t>19978424651</t>
        </is>
      </c>
      <c r="D23" t="inlineStr">
        <is>
          <t>Govee TV Backlight 3 Lite for 55-65 inch TVs</t>
        </is>
      </c>
      <c r="E23" t="inlineStr">
        <is>
          <t>13.100</t>
        </is>
      </c>
      <c r="F23" t="inlineStr">
        <is>
          <t>10.750</t>
        </is>
      </c>
      <c r="G23" t="inlineStr">
        <is>
          <t>4.250</t>
        </is>
      </c>
      <c r="H23" t="inlineStr">
        <is>
          <t>2.380</t>
        </is>
      </c>
      <c r="I23" t="inlineStr">
        <is>
          <t>0.008659</t>
        </is>
      </c>
      <c r="J23" t="inlineStr">
        <is>
          <t>0.008659</t>
        </is>
      </c>
      <c r="K23" t="inlineStr">
        <is>
          <t>0.025977</t>
        </is>
      </c>
      <c r="L23" t="inlineStr">
        <is>
          <t>46.033</t>
        </is>
      </c>
      <c r="M23" t="inlineStr">
        <is>
          <t>0.000</t>
        </is>
      </c>
      <c r="N23" t="inlineStr">
        <is>
          <t>0.000</t>
        </is>
      </c>
      <c r="O23" t="inlineStr">
        <is>
          <t>30</t>
        </is>
      </c>
      <c r="P23" t="inlineStr">
        <is>
          <t>6.81026</t>
        </is>
      </c>
      <c r="Q23" t="inlineStr">
        <is>
          <t>11.95800</t>
        </is>
      </c>
      <c r="R23" t="inlineStr">
        <is>
          <t>5.14774</t>
        </is>
      </c>
    </row>
    <row r="24">
      <c r="A24">
        <f>"00850034049588"</f>
        <v/>
      </c>
      <c r="B24" t="inlineStr">
        <is>
          <t>B6061A02</t>
        </is>
      </c>
      <c r="C24" t="inlineStr">
        <is>
          <t>1273480638</t>
        </is>
      </c>
      <c r="D24" t="inlineStr">
        <is>
          <t>Govee Glide Hexa White Transparent Shell Dimmable LED Wall Lights For Gaming, Support Alexa, Google Assistant And Govee Home App,Bedroom Decor,7 Count</t>
        </is>
      </c>
      <c r="E24" t="inlineStr">
        <is>
          <t>9.400</t>
        </is>
      </c>
      <c r="F24" t="inlineStr">
        <is>
          <t>8.550</t>
        </is>
      </c>
      <c r="G24" t="inlineStr">
        <is>
          <t>5.850</t>
        </is>
      </c>
      <c r="H24" t="inlineStr">
        <is>
          <t>4.180</t>
        </is>
      </c>
      <c r="I24" t="inlineStr">
        <is>
          <t>0.006802</t>
        </is>
      </c>
      <c r="J24" t="inlineStr">
        <is>
          <t>0.006802</t>
        </is>
      </c>
      <c r="K24" t="inlineStr">
        <is>
          <t>0.020406</t>
        </is>
      </c>
      <c r="L24" t="inlineStr">
        <is>
          <t>4.433</t>
        </is>
      </c>
      <c r="M24" t="inlineStr">
        <is>
          <t>0.000</t>
        </is>
      </c>
      <c r="N24" t="inlineStr">
        <is>
          <t>0.000</t>
        </is>
      </c>
      <c r="O24" t="inlineStr">
        <is>
          <t>30</t>
        </is>
      </c>
      <c r="P24" t="inlineStr">
        <is>
          <t>0.90469</t>
        </is>
      </c>
      <c r="Q24" t="inlineStr">
        <is>
          <t>0.90469</t>
        </is>
      </c>
      <c r="R24" t="inlineStr">
        <is>
          <t>0.00000</t>
        </is>
      </c>
    </row>
    <row r="25">
      <c r="A25">
        <f>"00850034049427"</f>
        <v/>
      </c>
      <c r="B25" t="inlineStr">
        <is>
          <t>H612CAD1</t>
        </is>
      </c>
      <c r="C25" t="inlineStr">
        <is>
          <t>13552603868</t>
        </is>
      </c>
      <c r="D25" t="inlineStr">
        <is>
          <t>Govee RGBIC Wi-Fi + Bluetooth LED Strip Lights With Protective Coating with Matter (5M)</t>
        </is>
      </c>
      <c r="E25" t="inlineStr">
        <is>
          <t>8.400</t>
        </is>
      </c>
      <c r="F25" t="inlineStr">
        <is>
          <t>8.950</t>
        </is>
      </c>
      <c r="G25" t="inlineStr">
        <is>
          <t>2.850</t>
        </is>
      </c>
      <c r="H25" t="inlineStr">
        <is>
          <t>1.680</t>
        </is>
      </c>
      <c r="I25" t="inlineStr">
        <is>
          <t>0.003100</t>
        </is>
      </c>
      <c r="J25" t="inlineStr">
        <is>
          <t>0.003100</t>
        </is>
      </c>
      <c r="K25" t="inlineStr">
        <is>
          <t>0.009300</t>
        </is>
      </c>
      <c r="L25" t="inlineStr">
        <is>
          <t>30.533</t>
        </is>
      </c>
      <c r="M25" t="inlineStr">
        <is>
          <t>0.000</t>
        </is>
      </c>
      <c r="N25" t="inlineStr">
        <is>
          <t>0.000</t>
        </is>
      </c>
      <c r="O25" t="inlineStr">
        <is>
          <t>30</t>
        </is>
      </c>
      <c r="P25" t="inlineStr">
        <is>
          <t>2.83948</t>
        </is>
      </c>
      <c r="Q25" t="inlineStr">
        <is>
          <t>2.83948</t>
        </is>
      </c>
      <c r="R25" t="inlineStr">
        <is>
          <t>0.00000</t>
        </is>
      </c>
    </row>
    <row r="26">
      <c r="A26">
        <f>"00810211390636"</f>
        <v/>
      </c>
      <c r="B26" t="inlineStr">
        <is>
          <t>H3511111</t>
        </is>
      </c>
      <c r="C26" t="inlineStr">
        <is>
          <t>19555222363</t>
        </is>
      </c>
      <c r="D26" t="inlineStr">
        <is>
          <t>Govee Outdoor Cylinder Pathway Lights 8pk</t>
        </is>
      </c>
      <c r="E26" t="inlineStr">
        <is>
          <t>20.950</t>
        </is>
      </c>
      <c r="F26" t="inlineStr">
        <is>
          <t>20.500</t>
        </is>
      </c>
      <c r="G26" t="inlineStr">
        <is>
          <t>8.550</t>
        </is>
      </c>
      <c r="H26" t="inlineStr">
        <is>
          <t>10.040</t>
        </is>
      </c>
      <c r="I26" t="inlineStr">
        <is>
          <t>0.053125</t>
        </is>
      </c>
      <c r="J26" t="inlineStr">
        <is>
          <t>0.053125</t>
        </is>
      </c>
      <c r="K26" t="inlineStr">
        <is>
          <t>0.159375</t>
        </is>
      </c>
      <c r="L26" t="inlineStr">
        <is>
          <t>33.267</t>
        </is>
      </c>
      <c r="M26" t="inlineStr">
        <is>
          <t>0.000</t>
        </is>
      </c>
      <c r="N26" t="inlineStr">
        <is>
          <t>0.000</t>
        </is>
      </c>
      <c r="O26" t="inlineStr">
        <is>
          <t>30</t>
        </is>
      </c>
      <c r="P26" t="inlineStr">
        <is>
          <t>30.33447</t>
        </is>
      </c>
      <c r="Q26" t="inlineStr">
        <is>
          <t>53.01891</t>
        </is>
      </c>
      <c r="R26" t="inlineStr">
        <is>
          <t>22.68444</t>
        </is>
      </c>
    </row>
    <row r="27">
      <c r="A27">
        <f>"00850076077211"</f>
        <v/>
      </c>
      <c r="B27" t="inlineStr">
        <is>
          <t>H70371B1</t>
        </is>
      </c>
      <c r="C27" t="inlineStr">
        <is>
          <t>17633313530</t>
        </is>
      </c>
      <c r="D27" t="inlineStr">
        <is>
          <t>Govee Smart Outdoor String Lights, 48ft, Corded  Electric</t>
        </is>
      </c>
      <c r="E27" t="inlineStr">
        <is>
          <t>13.200</t>
        </is>
      </c>
      <c r="F27" t="inlineStr">
        <is>
          <t>9.700</t>
        </is>
      </c>
      <c r="G27" t="inlineStr">
        <is>
          <t>6.400</t>
        </is>
      </c>
      <c r="H27" t="inlineStr">
        <is>
          <t>2.800</t>
        </is>
      </c>
      <c r="I27" t="inlineStr">
        <is>
          <t>0.011856</t>
        </is>
      </c>
      <c r="J27" t="inlineStr">
        <is>
          <t>0.011856</t>
        </is>
      </c>
      <c r="K27" t="inlineStr">
        <is>
          <t>0.035567</t>
        </is>
      </c>
      <c r="L27" t="inlineStr">
        <is>
          <t>101.833</t>
        </is>
      </c>
      <c r="M27" t="inlineStr">
        <is>
          <t>0.000</t>
        </is>
      </c>
      <c r="N27" t="inlineStr">
        <is>
          <t>0.000</t>
        </is>
      </c>
      <c r="O27" t="inlineStr">
        <is>
          <t>30</t>
        </is>
      </c>
      <c r="P27" t="inlineStr">
        <is>
          <t>36.21872</t>
        </is>
      </c>
      <c r="Q27" t="inlineStr">
        <is>
          <t>36.21872</t>
        </is>
      </c>
      <c r="R27" t="inlineStr">
        <is>
          <t>0.00000</t>
        </is>
      </c>
    </row>
    <row r="28">
      <c r="A28">
        <f>"00810211390810"</f>
        <v/>
      </c>
      <c r="B28" t="inlineStr">
        <is>
          <t>H7026111</t>
        </is>
      </c>
      <c r="C28" t="inlineStr">
        <is>
          <t>19931950393</t>
        </is>
      </c>
      <c r="D28" t="inlineStr">
        <is>
          <t>Govee Clear Bulb Outdoor String Lights, 96ft RGBWIC Dimmable Patio &amp; Backyard Lights with 30 LED Bulbs</t>
        </is>
      </c>
      <c r="E28" t="inlineStr">
        <is>
          <t>15.850</t>
        </is>
      </c>
      <c r="F28" t="inlineStr">
        <is>
          <t>13.800</t>
        </is>
      </c>
      <c r="G28" t="inlineStr">
        <is>
          <t>8.300</t>
        </is>
      </c>
      <c r="H28" t="inlineStr">
        <is>
          <t>6.120</t>
        </is>
      </c>
      <c r="I28" t="inlineStr">
        <is>
          <t>0.026265</t>
        </is>
      </c>
      <c r="J28" t="inlineStr">
        <is>
          <t>0.026265</t>
        </is>
      </c>
      <c r="K28" t="inlineStr">
        <is>
          <t>0.078796</t>
        </is>
      </c>
      <c r="L28" t="inlineStr">
        <is>
          <t>110.133</t>
        </is>
      </c>
      <c r="M28" t="inlineStr">
        <is>
          <t>0.000</t>
        </is>
      </c>
      <c r="N28" t="inlineStr">
        <is>
          <t>0.000</t>
        </is>
      </c>
      <c r="O28" t="inlineStr">
        <is>
          <t>30</t>
        </is>
      </c>
      <c r="P28" t="inlineStr">
        <is>
          <t>49.53640</t>
        </is>
      </c>
      <c r="Q28" t="inlineStr">
        <is>
          <t>86.78062</t>
        </is>
      </c>
      <c r="R28" t="inlineStr">
        <is>
          <t>37.24423</t>
        </is>
      </c>
    </row>
    <row r="29">
      <c r="A29">
        <f>"00850076077853"</f>
        <v/>
      </c>
      <c r="B29" t="inlineStr">
        <is>
          <t>H80A1A11</t>
        </is>
      </c>
      <c r="C29" t="inlineStr">
        <is>
          <t>19640861482</t>
        </is>
      </c>
      <c r="D29" t="inlineStr">
        <is>
          <t>Govee Smart 12in RGBWW+RGBIC Ceiling Light Black</t>
        </is>
      </c>
      <c r="E29" t="inlineStr">
        <is>
          <t>12.700</t>
        </is>
      </c>
      <c r="F29" t="inlineStr">
        <is>
          <t>12.150</t>
        </is>
      </c>
      <c r="G29" t="inlineStr">
        <is>
          <t>2.450</t>
        </is>
      </c>
      <c r="H29" t="inlineStr">
        <is>
          <t>2.930</t>
        </is>
      </c>
      <c r="I29" t="inlineStr">
        <is>
          <t>0.005469</t>
        </is>
      </c>
      <c r="J29" t="inlineStr">
        <is>
          <t>0.005469</t>
        </is>
      </c>
      <c r="K29" t="inlineStr">
        <is>
          <t>0.016408</t>
        </is>
      </c>
      <c r="L29" t="inlineStr">
        <is>
          <t>228.267</t>
        </is>
      </c>
      <c r="M29" t="inlineStr">
        <is>
          <t>0.000</t>
        </is>
      </c>
      <c r="N29" t="inlineStr">
        <is>
          <t>0.000</t>
        </is>
      </c>
      <c r="O29" t="inlineStr">
        <is>
          <t>30</t>
        </is>
      </c>
      <c r="P29" t="inlineStr">
        <is>
          <t>37.45468</t>
        </is>
      </c>
      <c r="Q29" t="inlineStr">
        <is>
          <t>37.45468</t>
        </is>
      </c>
      <c r="R29" t="inlineStr">
        <is>
          <t>0.00000</t>
        </is>
      </c>
    </row>
    <row r="30">
      <c r="A30">
        <f>"00850076077372"</f>
        <v/>
      </c>
      <c r="B30" t="inlineStr">
        <is>
          <t>H60971D1</t>
        </is>
      </c>
      <c r="C30" t="inlineStr">
        <is>
          <t>17710854588</t>
        </is>
      </c>
      <c r="D30" t="inlineStr">
        <is>
          <t>Govee TV Backlight 3 Lite for 40-50 inch TVs,Extra Warm White Light Providing Better Theater Experience, Smart Control Indoor TV Light</t>
        </is>
      </c>
      <c r="E30" t="inlineStr">
        <is>
          <t>9.400</t>
        </is>
      </c>
      <c r="F30" t="inlineStr">
        <is>
          <t>8.500</t>
        </is>
      </c>
      <c r="G30" t="inlineStr">
        <is>
          <t>3.400</t>
        </is>
      </c>
      <c r="H30" t="inlineStr">
        <is>
          <t>1.590</t>
        </is>
      </c>
      <c r="I30" t="inlineStr">
        <is>
          <t>0.003930</t>
        </is>
      </c>
      <c r="J30" t="inlineStr">
        <is>
          <t>0.003930</t>
        </is>
      </c>
      <c r="K30" t="inlineStr">
        <is>
          <t>0.011791</t>
        </is>
      </c>
      <c r="L30" t="inlineStr">
        <is>
          <t>372.433</t>
        </is>
      </c>
      <c r="M30" t="inlineStr">
        <is>
          <t>0.000</t>
        </is>
      </c>
      <c r="N30" t="inlineStr">
        <is>
          <t>0.000</t>
        </is>
      </c>
      <c r="O30" t="inlineStr">
        <is>
          <t>30</t>
        </is>
      </c>
      <c r="P30" t="inlineStr">
        <is>
          <t>24.20349</t>
        </is>
      </c>
      <c r="Q30" t="inlineStr">
        <is>
          <t>43.15615</t>
        </is>
      </c>
      <c r="R30" t="inlineStr">
        <is>
          <t>18.95266</t>
        </is>
      </c>
    </row>
    <row r="31">
      <c r="A31">
        <f>"00850061998651"</f>
        <v/>
      </c>
      <c r="B31" t="inlineStr">
        <is>
          <t>H60A6A01</t>
        </is>
      </c>
      <c r="C31" t="inlineStr">
        <is>
          <t>16489104810</t>
        </is>
      </c>
      <c r="D31" t="inlineStr">
        <is>
          <t>Govee Smart 15inch RGBICWW Ceiling Light Pro, 4300lm Warm White Cool Light  Dimable For Kitchen, Colorful Lighting Effect For Bedroom, Living Room,Light Change With Music For Party</t>
        </is>
      </c>
      <c r="E31" t="inlineStr">
        <is>
          <t>15.450</t>
        </is>
      </c>
      <c r="F31" t="inlineStr">
        <is>
          <t>15.800</t>
        </is>
      </c>
      <c r="G31" t="inlineStr">
        <is>
          <t>3.350</t>
        </is>
      </c>
      <c r="H31" t="inlineStr">
        <is>
          <t>4.830</t>
        </is>
      </c>
      <c r="I31" t="inlineStr">
        <is>
          <t>0.011831</t>
        </is>
      </c>
      <c r="J31" t="inlineStr">
        <is>
          <t>0.011831</t>
        </is>
      </c>
      <c r="K31" t="inlineStr">
        <is>
          <t>0.035493</t>
        </is>
      </c>
      <c r="L31" t="inlineStr">
        <is>
          <t>23.500</t>
        </is>
      </c>
      <c r="M31" t="inlineStr">
        <is>
          <t>0.000</t>
        </is>
      </c>
      <c r="N31" t="inlineStr">
        <is>
          <t>0.000</t>
        </is>
      </c>
      <c r="O31" t="inlineStr">
        <is>
          <t>30</t>
        </is>
      </c>
      <c r="P31" t="inlineStr">
        <is>
          <t>8.34095</t>
        </is>
      </c>
      <c r="Q31" t="inlineStr">
        <is>
          <t>8.34095</t>
        </is>
      </c>
      <c r="R31" t="inlineStr">
        <is>
          <t>0.00000</t>
        </is>
      </c>
    </row>
    <row r="32">
      <c r="A32">
        <f>"00810211391039"</f>
        <v/>
      </c>
      <c r="B32" t="inlineStr">
        <is>
          <t>H2A41111</t>
        </is>
      </c>
      <c r="C32" t="inlineStr">
        <is>
          <t>20037320916</t>
        </is>
      </c>
      <c r="D32" t="inlineStr">
        <is>
          <t>Govee TV Backlight 3 Lite for 75-85 inch TVs</t>
        </is>
      </c>
      <c r="E32" t="inlineStr">
        <is>
          <t>12.300</t>
        </is>
      </c>
      <c r="F32" t="inlineStr">
        <is>
          <t>10.200</t>
        </is>
      </c>
      <c r="G32" t="inlineStr">
        <is>
          <t>4.150</t>
        </is>
      </c>
      <c r="H32" t="inlineStr">
        <is>
          <t>2.620</t>
        </is>
      </c>
      <c r="I32" t="inlineStr">
        <is>
          <t>0.007533</t>
        </is>
      </c>
      <c r="J32" t="inlineStr">
        <is>
          <t>0.007533</t>
        </is>
      </c>
      <c r="K32" t="inlineStr">
        <is>
          <t>0.022598</t>
        </is>
      </c>
      <c r="L32" t="inlineStr">
        <is>
          <t>30.033</t>
        </is>
      </c>
      <c r="M32" t="inlineStr">
        <is>
          <t>0.000</t>
        </is>
      </c>
      <c r="N32" t="inlineStr">
        <is>
          <t>0.000</t>
        </is>
      </c>
      <c r="O32" t="inlineStr">
        <is>
          <t>30</t>
        </is>
      </c>
      <c r="P32" t="inlineStr">
        <is>
          <t>3.87557</t>
        </is>
      </c>
      <c r="Q32" t="inlineStr">
        <is>
          <t>6.78695</t>
        </is>
      </c>
      <c r="R32" t="inlineStr">
        <is>
          <t>2.91138</t>
        </is>
      </c>
    </row>
    <row r="33">
      <c r="A33">
        <f>"00850034049380"</f>
        <v/>
      </c>
      <c r="B33" t="inlineStr">
        <is>
          <t>H706C101</t>
        </is>
      </c>
      <c r="C33" t="inlineStr">
        <is>
          <t>5303921953</t>
        </is>
      </c>
      <c r="D33" t="inlineStr">
        <is>
          <t>Govee 200ft Permanent Outdoor Lights Pro(White Version)</t>
        </is>
      </c>
      <c r="E33" t="inlineStr">
        <is>
          <t>17.500</t>
        </is>
      </c>
      <c r="F33" t="inlineStr">
        <is>
          <t>14.600</t>
        </is>
      </c>
      <c r="G33" t="inlineStr">
        <is>
          <t>8.300</t>
        </is>
      </c>
      <c r="H33" t="inlineStr">
        <is>
          <t>5.860</t>
        </is>
      </c>
      <c r="I33" t="inlineStr">
        <is>
          <t>0.030681</t>
        </is>
      </c>
      <c r="J33" t="inlineStr">
        <is>
          <t>0.030681</t>
        </is>
      </c>
      <c r="K33" t="inlineStr">
        <is>
          <t>0.092042</t>
        </is>
      </c>
      <c r="L33" t="inlineStr">
        <is>
          <t>545.200</t>
        </is>
      </c>
      <c r="M33" t="inlineStr">
        <is>
          <t>0.000</t>
        </is>
      </c>
      <c r="N33" t="inlineStr">
        <is>
          <t>0.000</t>
        </is>
      </c>
      <c r="O33" t="inlineStr">
        <is>
          <t>30</t>
        </is>
      </c>
      <c r="P33" t="inlineStr">
        <is>
          <t>285.82140</t>
        </is>
      </c>
      <c r="Q33" t="inlineStr">
        <is>
          <t>501.81353</t>
        </is>
      </c>
      <c r="R33" t="inlineStr">
        <is>
          <t>215.99213</t>
        </is>
      </c>
    </row>
    <row r="34">
      <c r="A34">
        <f>"00850076077792"</f>
        <v/>
      </c>
      <c r="B34" t="inlineStr">
        <is>
          <t>B14C01C4-1</t>
        </is>
      </c>
      <c r="C34" t="inlineStr">
        <is>
          <t>19884957854</t>
        </is>
      </c>
      <c r="D34" t="inlineStr">
        <is>
          <t>Govee 500LM RGBWW Smart ST19 LED Bulb 4 Pack, 64+ Scene Modes, Classic Design Bulb, High-Density COB Light Strips, Smart Control</t>
        </is>
      </c>
      <c r="E34" t="inlineStr">
        <is>
          <t>11.100</t>
        </is>
      </c>
      <c r="F34" t="inlineStr">
        <is>
          <t>13.750</t>
        </is>
      </c>
      <c r="G34" t="inlineStr">
        <is>
          <t>6.700</t>
        </is>
      </c>
      <c r="H34" t="inlineStr">
        <is>
          <t>1.150</t>
        </is>
      </c>
      <c r="I34" t="inlineStr">
        <is>
          <t>0.014794</t>
        </is>
      </c>
      <c r="J34" t="inlineStr">
        <is>
          <t>0.014794</t>
        </is>
      </c>
      <c r="K34" t="inlineStr">
        <is>
          <t>0.044383</t>
        </is>
      </c>
      <c r="L34" t="inlineStr">
        <is>
          <t>213.533</t>
        </is>
      </c>
      <c r="M34" t="inlineStr">
        <is>
          <t>0.000</t>
        </is>
      </c>
      <c r="N34" t="inlineStr">
        <is>
          <t>0.000</t>
        </is>
      </c>
      <c r="O34" t="inlineStr">
        <is>
          <t>30</t>
        </is>
      </c>
      <c r="P34" t="inlineStr">
        <is>
          <t>53.56305</t>
        </is>
      </c>
      <c r="Q34" t="inlineStr">
        <is>
          <t>94.77279</t>
        </is>
      </c>
      <c r="R34" t="inlineStr">
        <is>
          <t>41.20974</t>
        </is>
      </c>
    </row>
    <row r="35">
      <c r="A35">
        <f>"00810211390629"</f>
        <v/>
      </c>
      <c r="B35" t="inlineStr">
        <is>
          <t>H3510111</t>
        </is>
      </c>
      <c r="C35" t="inlineStr">
        <is>
          <t>19604904495</t>
        </is>
      </c>
      <c r="D35" t="inlineStr">
        <is>
          <t>Govee Outdoor Cylinder Pathway Lights 4pk</t>
        </is>
      </c>
      <c r="E35" t="inlineStr">
        <is>
          <t>18.150</t>
        </is>
      </c>
      <c r="F35" t="inlineStr">
        <is>
          <t>16.600</t>
        </is>
      </c>
      <c r="G35" t="inlineStr">
        <is>
          <t>4.250</t>
        </is>
      </c>
      <c r="H35" t="inlineStr">
        <is>
          <t>5.760</t>
        </is>
      </c>
      <c r="I35" t="inlineStr">
        <is>
          <t>0.018525</t>
        </is>
      </c>
      <c r="J35" t="inlineStr">
        <is>
          <t>0.018525</t>
        </is>
      </c>
      <c r="K35" t="inlineStr">
        <is>
          <t>0.055576</t>
        </is>
      </c>
      <c r="L35" t="inlineStr">
        <is>
          <t>27.800</t>
        </is>
      </c>
      <c r="M35" t="inlineStr">
        <is>
          <t>0.000</t>
        </is>
      </c>
      <c r="N35" t="inlineStr">
        <is>
          <t>0.000</t>
        </is>
      </c>
      <c r="O35" t="inlineStr">
        <is>
          <t>30</t>
        </is>
      </c>
      <c r="P35" t="inlineStr">
        <is>
          <t>8.61436</t>
        </is>
      </c>
      <c r="Q35" t="inlineStr">
        <is>
          <t>15.45027</t>
        </is>
      </c>
      <c r="R35" t="inlineStr">
        <is>
          <t>6.83591</t>
        </is>
      </c>
    </row>
    <row r="36">
      <c r="A36">
        <f>"00810211390490"</f>
        <v/>
      </c>
      <c r="B36" t="inlineStr">
        <is>
          <t>H7046111-1</t>
        </is>
      </c>
      <c r="C36" t="inlineStr">
        <is>
          <t>19687315941</t>
        </is>
      </c>
      <c r="D36" t="inlineStr">
        <is>
          <t>Govee Outdoor Chromatic String Lights, 65.6ft RGB Outdoor Lights with 55 Uni-ic Control LED Bulbs, 111+ Scene Modes of String lights, IP67 Waterproof compatible with Alexa, Google, Matter, App Contro</t>
        </is>
      </c>
      <c r="E36" t="inlineStr">
        <is>
          <t>10.300</t>
        </is>
      </c>
      <c r="F36" t="inlineStr">
        <is>
          <t>13.950</t>
        </is>
      </c>
      <c r="G36" t="inlineStr">
        <is>
          <t>6.850</t>
        </is>
      </c>
      <c r="H36" t="inlineStr">
        <is>
          <t>1.150</t>
        </is>
      </c>
      <c r="I36" t="inlineStr">
        <is>
          <t>0.014240</t>
        </is>
      </c>
      <c r="J36" t="inlineStr">
        <is>
          <t>0.014240</t>
        </is>
      </c>
      <c r="K36" t="inlineStr">
        <is>
          <t>0.042719</t>
        </is>
      </c>
      <c r="L36" t="inlineStr">
        <is>
          <t>35.767</t>
        </is>
      </c>
      <c r="M36" t="inlineStr">
        <is>
          <t>0.000</t>
        </is>
      </c>
      <c r="N36" t="inlineStr">
        <is>
          <t>0.000</t>
        </is>
      </c>
      <c r="O36" t="inlineStr">
        <is>
          <t>30</t>
        </is>
      </c>
      <c r="P36" t="inlineStr">
        <is>
          <t>15.27911</t>
        </is>
      </c>
      <c r="Q36" t="inlineStr">
        <is>
          <t>15.27911</t>
        </is>
      </c>
      <c r="R36" t="inlineStr">
        <is>
          <t>0.00000</t>
        </is>
      </c>
    </row>
    <row r="37">
      <c r="A37">
        <f>"00850061998934"</f>
        <v/>
      </c>
      <c r="B37" t="inlineStr">
        <is>
          <t>A806A012</t>
        </is>
      </c>
      <c r="C37" t="inlineStr">
        <is>
          <t>20023272575</t>
        </is>
      </c>
      <c r="D37" t="inlineStr">
        <is>
          <t>Govee Black Permanent Outdoor Lights Pro Driver Module</t>
        </is>
      </c>
      <c r="E37" t="inlineStr">
        <is>
          <t>5.940</t>
        </is>
      </c>
      <c r="F37" t="inlineStr">
        <is>
          <t>2.640</t>
        </is>
      </c>
      <c r="G37" t="inlineStr">
        <is>
          <t>2.360</t>
        </is>
      </c>
      <c r="H37" t="inlineStr">
        <is>
          <t>0.800</t>
        </is>
      </c>
      <c r="I37" t="inlineStr">
        <is>
          <t>0.000535</t>
        </is>
      </c>
      <c r="J37" t="inlineStr">
        <is>
          <t>0.000535</t>
        </is>
      </c>
      <c r="K37" t="inlineStr">
        <is>
          <t>0.001606</t>
        </is>
      </c>
      <c r="L37" t="inlineStr">
        <is>
          <t>88.367</t>
        </is>
      </c>
      <c r="M37" t="inlineStr">
        <is>
          <t>0.000</t>
        </is>
      </c>
      <c r="N37" t="inlineStr">
        <is>
          <t>0.000</t>
        </is>
      </c>
      <c r="O37" t="inlineStr">
        <is>
          <t>30</t>
        </is>
      </c>
      <c r="P37" t="inlineStr">
        <is>
          <t>1.41941</t>
        </is>
      </c>
      <c r="Q37" t="inlineStr">
        <is>
          <t>1.41941</t>
        </is>
      </c>
      <c r="R37" t="inlineStr">
        <is>
          <t>0.00000</t>
        </is>
      </c>
    </row>
    <row r="38">
      <c r="A38">
        <f>"00850061998033"</f>
        <v/>
      </c>
      <c r="B38" t="inlineStr">
        <is>
          <t>H8072A82</t>
        </is>
      </c>
      <c r="C38" t="inlineStr">
        <is>
          <t>13424160586</t>
        </is>
      </c>
      <c r="D38" t="inlineStr">
        <is>
          <t>Govee RGBICWW Floor Lamp Modern - Dimmable LED, Music Sync, Remote, Smart Lamp for Bedroom</t>
        </is>
      </c>
      <c r="E38" t="inlineStr">
        <is>
          <t>18.250</t>
        </is>
      </c>
      <c r="F38" t="inlineStr">
        <is>
          <t>8.250</t>
        </is>
      </c>
      <c r="G38" t="inlineStr">
        <is>
          <t>6.200</t>
        </is>
      </c>
      <c r="H38" t="inlineStr">
        <is>
          <t>5.800</t>
        </is>
      </c>
      <c r="I38" t="inlineStr">
        <is>
          <t>0.013505</t>
        </is>
      </c>
      <c r="J38" t="inlineStr">
        <is>
          <t>0.013505</t>
        </is>
      </c>
      <c r="K38" t="inlineStr">
        <is>
          <t>0.040516</t>
        </is>
      </c>
      <c r="L38" t="inlineStr">
        <is>
          <t>71.467</t>
        </is>
      </c>
      <c r="M38" t="inlineStr">
        <is>
          <t>0.000</t>
        </is>
      </c>
      <c r="N38" t="inlineStr">
        <is>
          <t>0.000</t>
        </is>
      </c>
      <c r="O38" t="inlineStr">
        <is>
          <t>30</t>
        </is>
      </c>
      <c r="P38" t="inlineStr">
        <is>
          <t>16.50350</t>
        </is>
      </c>
      <c r="Q38" t="inlineStr">
        <is>
          <t>28.95540</t>
        </is>
      </c>
      <c r="R38" t="inlineStr">
        <is>
          <t>12.45190</t>
        </is>
      </c>
    </row>
    <row r="39">
      <c r="A39">
        <f>"00850061998712"</f>
        <v/>
      </c>
      <c r="B39" t="inlineStr">
        <is>
          <t>H7056A11</t>
        </is>
      </c>
      <c r="C39" t="inlineStr">
        <is>
          <t>17442860578</t>
        </is>
      </c>
      <c r="D39" t="inlineStr">
        <is>
          <t>Govee Low Voltage Wired Outdoor Pathway Lights 2, Landscape Lighting with 60+ Scene Modes, IP66 Waterproof for Yard Patio Garden Work with Alexa/Google/Matter</t>
        </is>
      </c>
      <c r="E39" t="inlineStr">
        <is>
          <t>17.450</t>
        </is>
      </c>
      <c r="F39" t="inlineStr">
        <is>
          <t>12.900</t>
        </is>
      </c>
      <c r="G39" t="inlineStr">
        <is>
          <t>6.550</t>
        </is>
      </c>
      <c r="H39" t="inlineStr">
        <is>
          <t>7.340</t>
        </is>
      </c>
      <c r="I39" t="inlineStr">
        <is>
          <t>0.021332</t>
        </is>
      </c>
      <c r="J39" t="inlineStr">
        <is>
          <t>0.021332</t>
        </is>
      </c>
      <c r="K39" t="inlineStr">
        <is>
          <t>0.063995</t>
        </is>
      </c>
      <c r="L39" t="inlineStr">
        <is>
          <t>91.833</t>
        </is>
      </c>
      <c r="M39" t="inlineStr">
        <is>
          <t>0.000</t>
        </is>
      </c>
      <c r="N39" t="inlineStr">
        <is>
          <t>0.000</t>
        </is>
      </c>
      <c r="O39" t="inlineStr">
        <is>
          <t>30</t>
        </is>
      </c>
      <c r="P39" t="inlineStr">
        <is>
          <t>58.76846</t>
        </is>
      </c>
      <c r="Q39" t="inlineStr">
        <is>
          <t>58.76846</t>
        </is>
      </c>
      <c r="R39" t="inlineStr">
        <is>
          <t>0.00000</t>
        </is>
      </c>
    </row>
    <row r="40">
      <c r="A40">
        <f>"00850034049663"</f>
        <v/>
      </c>
      <c r="B40" t="inlineStr">
        <is>
          <t>H604CA01</t>
        </is>
      </c>
      <c r="C40" t="inlineStr">
        <is>
          <t>1157184559</t>
        </is>
      </c>
      <c r="D40" t="inlineStr">
        <is>
          <t>Govee DreamView Indoor LED Gaming Lights with Light Bar and Camera, Corded Electric, Color Changing</t>
        </is>
      </c>
      <c r="E40" t="inlineStr">
        <is>
          <t>17.500</t>
        </is>
      </c>
      <c r="F40" t="inlineStr">
        <is>
          <t>9.500</t>
        </is>
      </c>
      <c r="G40" t="inlineStr">
        <is>
          <t>6.400</t>
        </is>
      </c>
      <c r="H40" t="inlineStr">
        <is>
          <t>4.100</t>
        </is>
      </c>
      <c r="I40" t="inlineStr">
        <is>
          <t>0.015394</t>
        </is>
      </c>
      <c r="J40" t="inlineStr">
        <is>
          <t>0.015394</t>
        </is>
      </c>
      <c r="K40" t="inlineStr">
        <is>
          <t>0.046181</t>
        </is>
      </c>
      <c r="L40" t="inlineStr">
        <is>
          <t>1.600</t>
        </is>
      </c>
      <c r="M40" t="inlineStr">
        <is>
          <t>0.000</t>
        </is>
      </c>
      <c r="N40" t="inlineStr">
        <is>
          <t>0.000</t>
        </is>
      </c>
      <c r="O40" t="inlineStr">
        <is>
          <t>30</t>
        </is>
      </c>
      <c r="P40" t="inlineStr">
        <is>
          <t>0.73889</t>
        </is>
      </c>
      <c r="Q40" t="inlineStr">
        <is>
          <t>0.73889</t>
        </is>
      </c>
      <c r="R40" t="inlineStr">
        <is>
          <t>0.00000</t>
        </is>
      </c>
    </row>
    <row r="41">
      <c r="A41">
        <f>"00850061998699"</f>
        <v/>
      </c>
      <c r="B41" t="inlineStr">
        <is>
          <t>B8015A02</t>
        </is>
      </c>
      <c r="C41" t="inlineStr">
        <is>
          <t>17392958598</t>
        </is>
      </c>
      <c r="D41" t="inlineStr">
        <is>
          <t>Govee 800LM White Light Smart Bulb,Support By Alexa,Google Assiatant,Govee Home App, 2 pack</t>
        </is>
      </c>
      <c r="E41" t="inlineStr">
        <is>
          <t>5.650</t>
        </is>
      </c>
      <c r="F41" t="inlineStr">
        <is>
          <t>5.050</t>
        </is>
      </c>
      <c r="G41" t="inlineStr">
        <is>
          <t>2.650</t>
        </is>
      </c>
      <c r="H41" t="inlineStr">
        <is>
          <t>0.390</t>
        </is>
      </c>
      <c r="I41" t="inlineStr">
        <is>
          <t>0.001094</t>
        </is>
      </c>
      <c r="J41" t="inlineStr">
        <is>
          <t>0.001094</t>
        </is>
      </c>
      <c r="K41" t="inlineStr">
        <is>
          <t>0.003282</t>
        </is>
      </c>
      <c r="L41" t="inlineStr">
        <is>
          <t>34.267</t>
        </is>
      </c>
      <c r="M41" t="inlineStr">
        <is>
          <t>0.000</t>
        </is>
      </c>
      <c r="N41" t="inlineStr">
        <is>
          <t>0.000</t>
        </is>
      </c>
      <c r="O41" t="inlineStr">
        <is>
          <t>30</t>
        </is>
      </c>
      <c r="P41" t="inlineStr">
        <is>
          <t>1.12454</t>
        </is>
      </c>
      <c r="Q41" t="inlineStr">
        <is>
          <t>1.12454</t>
        </is>
      </c>
      <c r="R41" t="inlineStr">
        <is>
          <t>0.00000</t>
        </is>
      </c>
    </row>
    <row r="42">
      <c r="A42">
        <f>"00850034049861"</f>
        <v/>
      </c>
      <c r="B42" t="inlineStr">
        <is>
          <t>B6004AC3</t>
        </is>
      </c>
      <c r="C42" t="inlineStr">
        <is>
          <t>5318849827</t>
        </is>
      </c>
      <c r="D42" t="inlineStr">
        <is>
          <t>Govee RGBWW Smart LED A19 Bulb, 800 Lumens, 4 Pack</t>
        </is>
      </c>
      <c r="E42" t="inlineStr">
        <is>
          <t>5.100</t>
        </is>
      </c>
      <c r="F42" t="inlineStr">
        <is>
          <t>5.050</t>
        </is>
      </c>
      <c r="G42" t="inlineStr">
        <is>
          <t>10.600</t>
        </is>
      </c>
      <c r="H42" t="inlineStr">
        <is>
          <t>0.890</t>
        </is>
      </c>
      <c r="I42" t="inlineStr">
        <is>
          <t>0.003950</t>
        </is>
      </c>
      <c r="J42" t="inlineStr">
        <is>
          <t>0.003950</t>
        </is>
      </c>
      <c r="K42" t="inlineStr">
        <is>
          <t>0.011849</t>
        </is>
      </c>
      <c r="L42" t="inlineStr">
        <is>
          <t>632.200</t>
        </is>
      </c>
      <c r="M42" t="inlineStr">
        <is>
          <t>0.000</t>
        </is>
      </c>
      <c r="N42" t="inlineStr">
        <is>
          <t>0.000</t>
        </is>
      </c>
      <c r="O42" t="inlineStr">
        <is>
          <t>30</t>
        </is>
      </c>
      <c r="P42" t="inlineStr">
        <is>
          <t>42.37037</t>
        </is>
      </c>
      <c r="Q42" t="inlineStr">
        <is>
          <t>74.90994</t>
        </is>
      </c>
      <c r="R42" t="inlineStr">
        <is>
          <t>32.53957</t>
        </is>
      </c>
    </row>
    <row r="43">
      <c r="A43">
        <f>"00850061998910"</f>
        <v/>
      </c>
      <c r="B43" t="inlineStr">
        <is>
          <t>A806A011</t>
        </is>
      </c>
      <c r="C43" t="inlineStr">
        <is>
          <t>20039871652</t>
        </is>
      </c>
      <c r="D43" t="inlineStr">
        <is>
          <t>Govee Black Permanent Outdoor Lights Pro ExpansionString</t>
        </is>
      </c>
      <c r="E43" t="inlineStr">
        <is>
          <t>6.890</t>
        </is>
      </c>
      <c r="F43" t="inlineStr">
        <is>
          <t>6.020</t>
        </is>
      </c>
      <c r="G43" t="inlineStr">
        <is>
          <t>2.600</t>
        </is>
      </c>
      <c r="H43" t="inlineStr">
        <is>
          <t>1.020</t>
        </is>
      </c>
      <c r="I43" t="inlineStr">
        <is>
          <t>0.001560</t>
        </is>
      </c>
      <c r="J43" t="inlineStr">
        <is>
          <t>0.001560</t>
        </is>
      </c>
      <c r="K43" t="inlineStr">
        <is>
          <t>0.004681</t>
        </is>
      </c>
      <c r="L43" t="inlineStr">
        <is>
          <t>127.600</t>
        </is>
      </c>
      <c r="M43" t="inlineStr">
        <is>
          <t>0.000</t>
        </is>
      </c>
      <c r="N43" t="inlineStr">
        <is>
          <t>0.000</t>
        </is>
      </c>
      <c r="O43" t="inlineStr">
        <is>
          <t>30</t>
        </is>
      </c>
      <c r="P43" t="inlineStr">
        <is>
          <t>5.97252</t>
        </is>
      </c>
      <c r="Q43" t="inlineStr">
        <is>
          <t>5.97252</t>
        </is>
      </c>
      <c r="R43" t="inlineStr">
        <is>
          <t>0.00000</t>
        </is>
      </c>
    </row>
    <row r="44">
      <c r="A44">
        <f>"00850034049656"</f>
        <v/>
      </c>
      <c r="B44" t="inlineStr">
        <is>
          <t>B604A111</t>
        </is>
      </c>
      <c r="C44" t="inlineStr">
        <is>
          <t>16091410727</t>
        </is>
      </c>
      <c r="D44" t="inlineStr">
        <is>
          <t>Govee DreamView G1 Pro Gaming Light</t>
        </is>
      </c>
      <c r="E44" t="inlineStr">
        <is>
          <t>17.500</t>
        </is>
      </c>
      <c r="F44" t="inlineStr">
        <is>
          <t>8.300</t>
        </is>
      </c>
      <c r="G44" t="inlineStr">
        <is>
          <t>6.250</t>
        </is>
      </c>
      <c r="H44" t="inlineStr">
        <is>
          <t>4.130</t>
        </is>
      </c>
      <c r="I44" t="inlineStr">
        <is>
          <t>0.013134</t>
        </is>
      </c>
      <c r="J44" t="inlineStr">
        <is>
          <t>0.013134</t>
        </is>
      </c>
      <c r="K44" t="inlineStr">
        <is>
          <t>0.039402</t>
        </is>
      </c>
      <c r="L44" t="inlineStr">
        <is>
          <t>21.267</t>
        </is>
      </c>
      <c r="M44" t="inlineStr">
        <is>
          <t>0.000</t>
        </is>
      </c>
      <c r="N44" t="inlineStr">
        <is>
          <t>0.000</t>
        </is>
      </c>
      <c r="O44" t="inlineStr">
        <is>
          <t>30</t>
        </is>
      </c>
      <c r="P44" t="inlineStr">
        <is>
          <t>8.37940</t>
        </is>
      </c>
      <c r="Q44" t="inlineStr">
        <is>
          <t>8.37940</t>
        </is>
      </c>
      <c r="R44" t="inlineStr">
        <is>
          <t>0.00000</t>
        </is>
      </c>
    </row>
    <row r="45">
      <c r="A45">
        <f>"00850034049458"</f>
        <v/>
      </c>
      <c r="B45" t="inlineStr">
        <is>
          <t>H8604A12</t>
        </is>
      </c>
      <c r="C45" t="inlineStr">
        <is>
          <t>15379304132</t>
        </is>
      </c>
      <c r="D45" t="inlineStr">
        <is>
          <t>Govee Smart AI Sync Box with 1 HDMI For Gaming, Supports 8K@60Hz, 4K@144Hz, VRR and ALLM, Works with Matter and Alexa, RGBIC LED Light Strip for 55-65 inch TVs, 75 LEDs/m</t>
        </is>
      </c>
      <c r="E45" t="inlineStr">
        <is>
          <t>13.150</t>
        </is>
      </c>
      <c r="F45" t="inlineStr">
        <is>
          <t>8.100</t>
        </is>
      </c>
      <c r="G45" t="inlineStr">
        <is>
          <t>3.550</t>
        </is>
      </c>
      <c r="H45" t="inlineStr">
        <is>
          <t>3.840</t>
        </is>
      </c>
      <c r="I45" t="inlineStr">
        <is>
          <t>0.005471</t>
        </is>
      </c>
      <c r="J45" t="inlineStr">
        <is>
          <t>0.005471</t>
        </is>
      </c>
      <c r="K45" t="inlineStr">
        <is>
          <t>0.016412</t>
        </is>
      </c>
      <c r="L45" t="inlineStr">
        <is>
          <t>0.033</t>
        </is>
      </c>
      <c r="M45" t="inlineStr">
        <is>
          <t>0.000</t>
        </is>
      </c>
      <c r="N45" t="inlineStr">
        <is>
          <t>0.000</t>
        </is>
      </c>
      <c r="O45" t="inlineStr">
        <is>
          <t>30</t>
        </is>
      </c>
      <c r="P45" t="inlineStr">
        <is>
          <t>0.00547</t>
        </is>
      </c>
      <c r="Q45" t="inlineStr">
        <is>
          <t>0.00547</t>
        </is>
      </c>
      <c r="R45" t="inlineStr">
        <is>
          <t>0.00000</t>
        </is>
      </c>
    </row>
    <row r="46">
      <c r="A46">
        <f>"00850034049632"</f>
        <v/>
      </c>
      <c r="B46" t="inlineStr">
        <is>
          <t>H61A1AD1</t>
        </is>
      </c>
      <c r="C46" t="inlineStr">
        <is>
          <t>1737392332</t>
        </is>
      </c>
      <c r="D46" t="inlineStr">
        <is>
          <t>Govee RGBIC Neon Rope LED Light - 64 Scene Modes, 11 Music Modes - 6.5 Ft, Multicolor</t>
        </is>
      </c>
      <c r="E46" t="inlineStr">
        <is>
          <t>7.900</t>
        </is>
      </c>
      <c r="F46" t="inlineStr">
        <is>
          <t>7.700</t>
        </is>
      </c>
      <c r="G46" t="inlineStr">
        <is>
          <t>3.250</t>
        </is>
      </c>
      <c r="H46" t="inlineStr">
        <is>
          <t>1.450</t>
        </is>
      </c>
      <c r="I46" t="inlineStr">
        <is>
          <t>0.002860</t>
        </is>
      </c>
      <c r="J46" t="inlineStr">
        <is>
          <t>0.002860</t>
        </is>
      </c>
      <c r="K46" t="inlineStr">
        <is>
          <t>0.008581</t>
        </is>
      </c>
      <c r="L46" t="inlineStr">
        <is>
          <t>51.467</t>
        </is>
      </c>
      <c r="M46" t="inlineStr">
        <is>
          <t>0.000</t>
        </is>
      </c>
      <c r="N46" t="inlineStr">
        <is>
          <t>0.000</t>
        </is>
      </c>
      <c r="O46" t="inlineStr">
        <is>
          <t>30</t>
        </is>
      </c>
      <c r="P46" t="inlineStr">
        <is>
          <t>2.47265</t>
        </is>
      </c>
      <c r="Q46" t="inlineStr">
        <is>
          <t>4.41616</t>
        </is>
      </c>
      <c r="R46" t="inlineStr">
        <is>
          <t>1.94351</t>
        </is>
      </c>
    </row>
    <row r="47">
      <c r="A47">
        <f>"00850034049236"</f>
        <v/>
      </c>
      <c r="B47" t="inlineStr">
        <is>
          <t>H6119AA1</t>
        </is>
      </c>
      <c r="C47" t="inlineStr">
        <is>
          <t>465140785</t>
        </is>
      </c>
      <c r="D47" t="inlineStr">
        <is>
          <t>Govee Interior Car LED Lights,RGBIC Color Changing Effect,Smart APP Control,4 Music Mode,4 Pack,0.98 Ft</t>
        </is>
      </c>
      <c r="E47" t="inlineStr">
        <is>
          <t>14.350</t>
        </is>
      </c>
      <c r="F47" t="inlineStr">
        <is>
          <t>3.400</t>
        </is>
      </c>
      <c r="G47" t="inlineStr">
        <is>
          <t>1.750</t>
        </is>
      </c>
      <c r="H47" t="inlineStr">
        <is>
          <t>0.770</t>
        </is>
      </c>
      <c r="I47" t="inlineStr">
        <is>
          <t>0.001235</t>
        </is>
      </c>
      <c r="J47" t="inlineStr">
        <is>
          <t>0.001235</t>
        </is>
      </c>
      <c r="K47" t="inlineStr">
        <is>
          <t>0.003706</t>
        </is>
      </c>
      <c r="L47" t="inlineStr">
        <is>
          <t>84.867</t>
        </is>
      </c>
      <c r="M47" t="inlineStr">
        <is>
          <t>0.000</t>
        </is>
      </c>
      <c r="N47" t="inlineStr">
        <is>
          <t>0.000</t>
        </is>
      </c>
      <c r="O47" t="inlineStr">
        <is>
          <t>30</t>
        </is>
      </c>
      <c r="P47" t="inlineStr">
        <is>
          <t>3.14502</t>
        </is>
      </c>
      <c r="Q47" t="inlineStr">
        <is>
          <t>3.14502</t>
        </is>
      </c>
      <c r="R47" t="inlineStr">
        <is>
          <t>0.00000</t>
        </is>
      </c>
    </row>
    <row r="48">
      <c r="A48">
        <f>"00850061998170"</f>
        <v/>
      </c>
      <c r="B48" t="inlineStr">
        <is>
          <t>H8022AD1</t>
        </is>
      </c>
      <c r="C48" t="inlineStr">
        <is>
          <t>13498112968</t>
        </is>
      </c>
      <c r="D48" t="inlineStr">
        <is>
          <t>Govee Smart Table Lamp Bedside Lamp - RGBIC Color Changing, Dimmable, Touch Sensor</t>
        </is>
      </c>
      <c r="E48" t="inlineStr">
        <is>
          <t>4.650</t>
        </is>
      </c>
      <c r="F48" t="inlineStr">
        <is>
          <t>11.350</t>
        </is>
      </c>
      <c r="G48" t="inlineStr">
        <is>
          <t>0.850</t>
        </is>
      </c>
      <c r="H48" t="inlineStr">
        <is>
          <t>1.850</t>
        </is>
      </c>
      <c r="I48" t="inlineStr">
        <is>
          <t>0.000649</t>
        </is>
      </c>
      <c r="J48" t="inlineStr">
        <is>
          <t>0.000649</t>
        </is>
      </c>
      <c r="K48" t="inlineStr">
        <is>
          <t>0.001947</t>
        </is>
      </c>
      <c r="L48" t="inlineStr">
        <is>
          <t>177.967</t>
        </is>
      </c>
      <c r="M48" t="inlineStr">
        <is>
          <t>0.000</t>
        </is>
      </c>
      <c r="N48" t="inlineStr">
        <is>
          <t>0.000</t>
        </is>
      </c>
      <c r="O48" t="inlineStr">
        <is>
          <t>30</t>
        </is>
      </c>
      <c r="P48" t="inlineStr">
        <is>
          <t>1.98473</t>
        </is>
      </c>
      <c r="Q48" t="inlineStr">
        <is>
          <t>3.46517</t>
        </is>
      </c>
      <c r="R48" t="inlineStr">
        <is>
          <t>1.48043</t>
        </is>
      </c>
    </row>
    <row r="49">
      <c r="A49">
        <f>"00850061998927"</f>
        <v/>
      </c>
      <c r="B49" t="inlineStr">
        <is>
          <t>A806A002</t>
        </is>
      </c>
      <c r="C49" t="inlineStr">
        <is>
          <t>20063815182</t>
        </is>
      </c>
      <c r="D49" t="inlineStr">
        <is>
          <t>Govee White Permanent Outdoor Lights Pro Driver Module</t>
        </is>
      </c>
      <c r="E49" t="inlineStr">
        <is>
          <t>5.940</t>
        </is>
      </c>
      <c r="F49" t="inlineStr">
        <is>
          <t>2.640</t>
        </is>
      </c>
      <c r="G49" t="inlineStr">
        <is>
          <t>2.360</t>
        </is>
      </c>
      <c r="H49" t="inlineStr">
        <is>
          <t>0.800</t>
        </is>
      </c>
      <c r="I49" t="inlineStr">
        <is>
          <t>0.000535</t>
        </is>
      </c>
      <c r="J49" t="inlineStr">
        <is>
          <t>0.000535</t>
        </is>
      </c>
      <c r="K49" t="inlineStr">
        <is>
          <t>0.001606</t>
        </is>
      </c>
      <c r="L49" t="inlineStr">
        <is>
          <t>29.933</t>
        </is>
      </c>
      <c r="M49" t="inlineStr">
        <is>
          <t>0.000</t>
        </is>
      </c>
      <c r="N49" t="inlineStr">
        <is>
          <t>0.000</t>
        </is>
      </c>
      <c r="O49" t="inlineStr">
        <is>
          <t>30</t>
        </is>
      </c>
      <c r="P49" t="inlineStr">
        <is>
          <t>0.48081</t>
        </is>
      </c>
      <c r="Q49" t="inlineStr">
        <is>
          <t>0.48081</t>
        </is>
      </c>
      <c r="R49" t="inlineStr">
        <is>
          <t>0.00000</t>
        </is>
      </c>
    </row>
    <row r="50">
      <c r="A50">
        <f>"06974316998730"</f>
        <v/>
      </c>
      <c r="B50" t="inlineStr">
        <is>
          <t>H60991D2</t>
        </is>
      </c>
      <c r="C50" t="inlineStr">
        <is>
          <t>17659464510</t>
        </is>
      </c>
      <c r="D50" t="inlineStr">
        <is>
          <t>Govee TV Backlight 3 Lite for 75-85 inch TVs, Extra Warm White Light Providing Better Theater Experience, Smart Control Indoor TV Light</t>
        </is>
      </c>
      <c r="E50" t="inlineStr">
        <is>
          <t>11.500</t>
        </is>
      </c>
      <c r="F50" t="inlineStr">
        <is>
          <t>8.500</t>
        </is>
      </c>
      <c r="G50" t="inlineStr">
        <is>
          <t>3.550</t>
        </is>
      </c>
      <c r="H50" t="inlineStr">
        <is>
          <t>2.250</t>
        </is>
      </c>
      <c r="I50" t="inlineStr">
        <is>
          <t>0.005020</t>
        </is>
      </c>
      <c r="J50" t="inlineStr">
        <is>
          <t>0.005020</t>
        </is>
      </c>
      <c r="K50" t="inlineStr">
        <is>
          <t>0.015061</t>
        </is>
      </c>
      <c r="L50" t="inlineStr">
        <is>
          <t>329.533</t>
        </is>
      </c>
      <c r="M50" t="inlineStr">
        <is>
          <t>0.000</t>
        </is>
      </c>
      <c r="N50" t="inlineStr">
        <is>
          <t>0.000</t>
        </is>
      </c>
      <c r="O50" t="inlineStr">
        <is>
          <t>30</t>
        </is>
      </c>
      <c r="P50" t="inlineStr">
        <is>
          <t>29.12268</t>
        </is>
      </c>
      <c r="Q50" t="inlineStr">
        <is>
          <t>50.89545</t>
        </is>
      </c>
      <c r="R50" t="inlineStr">
        <is>
          <t>21.77277</t>
        </is>
      </c>
    </row>
    <row r="51">
      <c r="A51">
        <f>"00810211390261"</f>
        <v/>
      </c>
      <c r="B51" t="inlineStr">
        <is>
          <t>M5112A01</t>
        </is>
      </c>
      <c r="C51" t="inlineStr">
        <is>
          <t>19856300108</t>
        </is>
      </c>
      <c r="D51" t="inlineStr">
        <is>
          <t>GoveeLife Smart Refrigerator Thermometer Pro with Smart Gateway 1s</t>
        </is>
      </c>
      <c r="E51" t="inlineStr">
        <is>
          <t>8.650</t>
        </is>
      </c>
      <c r="F51" t="inlineStr">
        <is>
          <t>7.250</t>
        </is>
      </c>
      <c r="G51" t="inlineStr">
        <is>
          <t>4.300</t>
        </is>
      </c>
      <c r="H51" t="inlineStr">
        <is>
          <t>0.850</t>
        </is>
      </c>
      <c r="I51" t="inlineStr">
        <is>
          <t>0.003901</t>
        </is>
      </c>
      <c r="J51" t="inlineStr">
        <is>
          <t>0.003901</t>
        </is>
      </c>
      <c r="K51" t="inlineStr">
        <is>
          <t>0.011704</t>
        </is>
      </c>
      <c r="L51" t="inlineStr">
        <is>
          <t>215.000</t>
        </is>
      </c>
      <c r="M51" t="inlineStr">
        <is>
          <t>0.000</t>
        </is>
      </c>
      <c r="N51" t="inlineStr">
        <is>
          <t>0.000</t>
        </is>
      </c>
      <c r="O51" t="inlineStr">
        <is>
          <t>30</t>
        </is>
      </c>
      <c r="P51" t="inlineStr">
        <is>
          <t>25.16394</t>
        </is>
      </c>
      <c r="Q51" t="inlineStr">
        <is>
          <t>25.16394</t>
        </is>
      </c>
      <c r="R51" t="inlineStr">
        <is>
          <t>0.00000</t>
        </is>
      </c>
    </row>
    <row r="52">
      <c r="A52">
        <f>"00850061998590"</f>
        <v/>
      </c>
      <c r="B52" t="inlineStr">
        <is>
          <t>H6020AF1</t>
        </is>
      </c>
      <c r="C52" t="inlineStr">
        <is>
          <t>17125257848</t>
        </is>
      </c>
      <c r="D52" t="inlineStr">
        <is>
          <t>Govee Table Lamp 2 Pro x Sound by JBL, Smart Cordless Table Lamp with Speaker, Music-Light Sync, 16 Music Modes &amp; 100+ Scene Modes, Work with Matter, DIY Customized Rechargeable Desk Lamp for Bedroom</t>
        </is>
      </c>
      <c r="E52" t="inlineStr">
        <is>
          <t>13.450</t>
        </is>
      </c>
      <c r="F52" t="inlineStr">
        <is>
          <t>7.500</t>
        </is>
      </c>
      <c r="G52" t="inlineStr">
        <is>
          <t>7.500</t>
        </is>
      </c>
      <c r="H52" t="inlineStr">
        <is>
          <t>5.300</t>
        </is>
      </c>
      <c r="I52" t="inlineStr">
        <is>
          <t>0.010946</t>
        </is>
      </c>
      <c r="J52" t="inlineStr">
        <is>
          <t>0.010946</t>
        </is>
      </c>
      <c r="K52" t="inlineStr">
        <is>
          <t>0.032837</t>
        </is>
      </c>
      <c r="L52" t="inlineStr">
        <is>
          <t>115.100</t>
        </is>
      </c>
      <c r="M52" t="inlineStr">
        <is>
          <t>0.000</t>
        </is>
      </c>
      <c r="N52" t="inlineStr">
        <is>
          <t>0.000</t>
        </is>
      </c>
      <c r="O52" t="inlineStr">
        <is>
          <t>30</t>
        </is>
      </c>
      <c r="P52" t="inlineStr">
        <is>
          <t>21.45892</t>
        </is>
      </c>
      <c r="Q52" t="inlineStr">
        <is>
          <t>37.79529</t>
        </is>
      </c>
      <c r="R52" t="inlineStr">
        <is>
          <t>16.33636</t>
        </is>
      </c>
    </row>
    <row r="53">
      <c r="A53">
        <f>"00810211390803"</f>
        <v/>
      </c>
      <c r="B53" t="inlineStr">
        <is>
          <t>H1270101</t>
        </is>
      </c>
      <c r="C53" t="inlineStr">
        <is>
          <t>19889824476</t>
        </is>
      </c>
      <c r="D53" t="inlineStr">
        <is>
          <t>Govee Ceiling Light Ultra 21 Inch, 5000LM Smart Flush Mount Ceiling Light Fixture, Compatible with Matter &amp; Alexa, RGBIC &amp; Tunable White 2700K-6500K, DIY Ceiling Canvas for Bedroom, Living Room</t>
        </is>
      </c>
      <c r="E53" t="inlineStr">
        <is>
          <t>4.500</t>
        </is>
      </c>
      <c r="F53" t="inlineStr">
        <is>
          <t>23.500</t>
        </is>
      </c>
      <c r="G53" t="inlineStr">
        <is>
          <t>23.000</t>
        </is>
      </c>
      <c r="H53" t="inlineStr">
        <is>
          <t>17.000</t>
        </is>
      </c>
      <c r="I53" t="inlineStr">
        <is>
          <t>0.035189</t>
        </is>
      </c>
      <c r="J53" t="inlineStr">
        <is>
          <t>0.035189</t>
        </is>
      </c>
      <c r="K53" t="inlineStr">
        <is>
          <t>0.105566</t>
        </is>
      </c>
      <c r="L53" t="inlineStr">
        <is>
          <t>16.367</t>
        </is>
      </c>
      <c r="M53" t="inlineStr">
        <is>
          <t>0.000</t>
        </is>
      </c>
      <c r="N53" t="inlineStr">
        <is>
          <t>0.000</t>
        </is>
      </c>
      <c r="O53" t="inlineStr">
        <is>
          <t>30</t>
        </is>
      </c>
      <c r="P53" t="inlineStr">
        <is>
          <t>17.27770</t>
        </is>
      </c>
      <c r="Q53" t="inlineStr">
        <is>
          <t>17.27770</t>
        </is>
      </c>
      <c r="R53" t="inlineStr">
        <is>
          <t>0.00000</t>
        </is>
      </c>
    </row>
    <row r="54">
      <c r="A54">
        <f>"00810211390940"</f>
        <v/>
      </c>
      <c r="B54" t="inlineStr">
        <is>
          <t>H3001011</t>
        </is>
      </c>
      <c r="C54" t="inlineStr">
        <is>
          <t>20005268229</t>
        </is>
      </c>
      <c r="D54" t="inlineStr">
        <is>
          <t>Govee Outdoor Solar String Lights</t>
        </is>
      </c>
      <c r="E54" t="inlineStr">
        <is>
          <t>18.550</t>
        </is>
      </c>
      <c r="F54" t="inlineStr">
        <is>
          <t>14.650</t>
        </is>
      </c>
      <c r="G54" t="inlineStr">
        <is>
          <t>6.950</t>
        </is>
      </c>
      <c r="H54" t="inlineStr">
        <is>
          <t>5.380</t>
        </is>
      </c>
      <c r="I54" t="inlineStr">
        <is>
          <t>0.027325</t>
        </is>
      </c>
      <c r="J54" t="inlineStr">
        <is>
          <t>0.027325</t>
        </is>
      </c>
      <c r="K54" t="inlineStr">
        <is>
          <t>0.081975</t>
        </is>
      </c>
      <c r="L54" t="inlineStr">
        <is>
          <t>33.433</t>
        </is>
      </c>
      <c r="M54" t="inlineStr">
        <is>
          <t>0.000</t>
        </is>
      </c>
      <c r="N54" t="inlineStr">
        <is>
          <t>0.000</t>
        </is>
      </c>
      <c r="O54" t="inlineStr">
        <is>
          <t>30</t>
        </is>
      </c>
      <c r="P54" t="inlineStr">
        <is>
          <t>27.40713</t>
        </is>
      </c>
      <c r="Q54" t="inlineStr">
        <is>
          <t>27.40713</t>
        </is>
      </c>
      <c r="R54" t="inlineStr">
        <is>
          <t>0.00000</t>
        </is>
      </c>
    </row>
    <row r="55">
      <c r="A55">
        <f>"00810211390568"</f>
        <v/>
      </c>
      <c r="B55" t="inlineStr">
        <is>
          <t>B5610011</t>
        </is>
      </c>
      <c r="C55" t="inlineStr">
        <is>
          <t>19420570612</t>
        </is>
      </c>
      <c r="D55" t="inlineStr">
        <is>
          <t>Wired BBQ Thermometer with Two Probes (Black) for WiFi</t>
        </is>
      </c>
      <c r="E55" t="inlineStr">
        <is>
          <t>7.900</t>
        </is>
      </c>
      <c r="F55" t="inlineStr">
        <is>
          <t>4.500</t>
        </is>
      </c>
      <c r="G55" t="inlineStr">
        <is>
          <t>2.450</t>
        </is>
      </c>
      <c r="H55" t="inlineStr">
        <is>
          <t>0.680</t>
        </is>
      </c>
      <c r="I55" t="inlineStr">
        <is>
          <t>0.001260</t>
        </is>
      </c>
      <c r="J55" t="inlineStr">
        <is>
          <t>0.001260</t>
        </is>
      </c>
      <c r="K55" t="inlineStr">
        <is>
          <t>0.003780</t>
        </is>
      </c>
      <c r="L55" t="inlineStr">
        <is>
          <t>48.333</t>
        </is>
      </c>
      <c r="M55" t="inlineStr">
        <is>
          <t>0.000</t>
        </is>
      </c>
      <c r="N55" t="inlineStr">
        <is>
          <t>0.000</t>
        </is>
      </c>
      <c r="O55" t="inlineStr">
        <is>
          <t>30</t>
        </is>
      </c>
      <c r="P55" t="inlineStr">
        <is>
          <t>1.82713</t>
        </is>
      </c>
      <c r="Q55" t="inlineStr">
        <is>
          <t>1.82713</t>
        </is>
      </c>
      <c r="R55" t="inlineStr">
        <is>
          <t>0.00000</t>
        </is>
      </c>
    </row>
    <row r="56">
      <c r="A56">
        <f>"00810211390544"</f>
        <v/>
      </c>
      <c r="B56" t="inlineStr">
        <is>
          <t>B1401102</t>
        </is>
      </c>
      <c r="C56" t="inlineStr">
        <is>
          <t>19386152248</t>
        </is>
      </c>
      <c r="D56" t="inlineStr">
        <is>
          <t>Govee 1600 Lumens Smart Light Bulbs, A21 LED Bulbs 100W Equivalent for Living Room, RGBWW Color Changing Light Bulbs Compatible with Matter, Alexa &amp; SmartThings, CRI 90, E26 Base, 2.4GHz Only, 2-Pack</t>
        </is>
      </c>
      <c r="E56" t="inlineStr">
        <is>
          <t>6.150</t>
        </is>
      </c>
      <c r="F56" t="inlineStr">
        <is>
          <t>7.500</t>
        </is>
      </c>
      <c r="G56" t="inlineStr">
        <is>
          <t>3.100</t>
        </is>
      </c>
      <c r="H56" t="inlineStr">
        <is>
          <t>1.120</t>
        </is>
      </c>
      <c r="I56" t="inlineStr">
        <is>
          <t>0.002069</t>
        </is>
      </c>
      <c r="J56" t="inlineStr">
        <is>
          <t>0.002069</t>
        </is>
      </c>
      <c r="K56" t="inlineStr">
        <is>
          <t>0.006206</t>
        </is>
      </c>
      <c r="L56" t="inlineStr">
        <is>
          <t>151.200</t>
        </is>
      </c>
      <c r="M56" t="inlineStr">
        <is>
          <t>0.000</t>
        </is>
      </c>
      <c r="N56" t="inlineStr">
        <is>
          <t>0.000</t>
        </is>
      </c>
      <c r="O56" t="inlineStr">
        <is>
          <t>30</t>
        </is>
      </c>
      <c r="P56" t="inlineStr">
        <is>
          <t>9.38355</t>
        </is>
      </c>
      <c r="Q56" t="inlineStr">
        <is>
          <t>9.38355</t>
        </is>
      </c>
      <c r="R56" t="inlineStr">
        <is>
          <t>0.00000</t>
        </is>
      </c>
    </row>
    <row r="57">
      <c r="A57">
        <f>"00810211390964"</f>
        <v/>
      </c>
      <c r="B57" t="inlineStr">
        <is>
          <t>B14A1102</t>
        </is>
      </c>
      <c r="C57" t="inlineStr">
        <is>
          <t>20022917553</t>
        </is>
      </c>
      <c r="D57" t="inlineStr">
        <is>
          <t>Govee PAR38 Flood Light Bulbs, 1300Lm Flood Lights Outdoor with IP65 Waterproof, Smart Light Bulbs Compatible with Alexa, Matter &amp; SmartThings, RGBWW &amp; Tunable White for Garage&amp;Porch, E26 Base, 2 Pac</t>
        </is>
      </c>
      <c r="E57" t="inlineStr">
        <is>
          <t>12.350</t>
        </is>
      </c>
      <c r="F57" t="inlineStr">
        <is>
          <t>9.150</t>
        </is>
      </c>
      <c r="G57" t="inlineStr">
        <is>
          <t>5.650</t>
        </is>
      </c>
      <c r="H57" t="inlineStr">
        <is>
          <t>1.990</t>
        </is>
      </c>
      <c r="I57" t="inlineStr">
        <is>
          <t>0.009237</t>
        </is>
      </c>
      <c r="J57" t="inlineStr">
        <is>
          <t>0.009237</t>
        </is>
      </c>
      <c r="K57" t="inlineStr">
        <is>
          <t>0.027711</t>
        </is>
      </c>
      <c r="L57" t="inlineStr">
        <is>
          <t>21.000</t>
        </is>
      </c>
      <c r="M57" t="inlineStr">
        <is>
          <t>0.000</t>
        </is>
      </c>
      <c r="N57" t="inlineStr">
        <is>
          <t>0.000</t>
        </is>
      </c>
      <c r="O57" t="inlineStr">
        <is>
          <t>30</t>
        </is>
      </c>
      <c r="P57" t="inlineStr">
        <is>
          <t>2.90967</t>
        </is>
      </c>
      <c r="Q57" t="inlineStr">
        <is>
          <t>5.81933</t>
        </is>
      </c>
      <c r="R57" t="inlineStr">
        <is>
          <t>2.90967</t>
        </is>
      </c>
    </row>
    <row r="58">
      <c r="A58">
        <f>"00850061998521"</f>
        <v/>
      </c>
      <c r="B58" t="inlineStr">
        <is>
          <t>B801AA04</t>
        </is>
      </c>
      <c r="C58" t="inlineStr">
        <is>
          <t>17342973229</t>
        </is>
      </c>
      <c r="D58" t="inlineStr">
        <is>
          <t>Govee 6inch Recessed Downlight Canless light 4pack</t>
        </is>
      </c>
      <c r="E58" t="inlineStr">
        <is>
          <t>7.500</t>
        </is>
      </c>
      <c r="F58" t="inlineStr">
        <is>
          <t>10.800</t>
        </is>
      </c>
      <c r="G58" t="inlineStr">
        <is>
          <t>7.500</t>
        </is>
      </c>
      <c r="H58" t="inlineStr">
        <is>
          <t>5.010</t>
        </is>
      </c>
      <c r="I58" t="inlineStr">
        <is>
          <t>0.008789</t>
        </is>
      </c>
      <c r="J58" t="inlineStr">
        <is>
          <t>0.008789</t>
        </is>
      </c>
      <c r="K58" t="inlineStr">
        <is>
          <t>0.026367</t>
        </is>
      </c>
      <c r="L58" t="inlineStr">
        <is>
          <t>45.700</t>
        </is>
      </c>
      <c r="M58" t="inlineStr">
        <is>
          <t>0.000</t>
        </is>
      </c>
      <c r="N58" t="inlineStr">
        <is>
          <t>0.000</t>
        </is>
      </c>
      <c r="O58" t="inlineStr">
        <is>
          <t>30</t>
        </is>
      </c>
      <c r="P58" t="inlineStr">
        <is>
          <t>12.04980</t>
        </is>
      </c>
      <c r="Q58" t="inlineStr">
        <is>
          <t>12.04980</t>
        </is>
      </c>
      <c r="R58" t="inlineStr">
        <is>
          <t>0.00000</t>
        </is>
      </c>
    </row>
    <row r="59">
      <c r="A59">
        <f>"00850076077341"</f>
        <v/>
      </c>
      <c r="B59" t="inlineStr">
        <is>
          <t>H6076193</t>
        </is>
      </c>
      <c r="C59" t="inlineStr">
        <is>
          <t>17677571114</t>
        </is>
      </c>
      <c r="D59" t="inlineStr">
        <is>
          <t>Govee RGBIC Floor Lamp Basic, LED Corner Lamp Works with Alexa, Smart Modern Floor Lamp with Music Sync and 16 Million DIY Colors, Color Changing Standing Lamp for Bedroom Living Room Blue</t>
        </is>
      </c>
      <c r="E59" t="inlineStr">
        <is>
          <t>16.800</t>
        </is>
      </c>
      <c r="F59" t="inlineStr">
        <is>
          <t>12.900</t>
        </is>
      </c>
      <c r="G59" t="inlineStr">
        <is>
          <t>5.600</t>
        </is>
      </c>
      <c r="H59" t="inlineStr">
        <is>
          <t>3.710</t>
        </is>
      </c>
      <c r="I59" t="inlineStr">
        <is>
          <t>0.017558</t>
        </is>
      </c>
      <c r="J59" t="inlineStr">
        <is>
          <t>0.017558</t>
        </is>
      </c>
      <c r="K59" t="inlineStr">
        <is>
          <t>0.052675</t>
        </is>
      </c>
      <c r="L59" t="inlineStr">
        <is>
          <t>21.133</t>
        </is>
      </c>
      <c r="M59" t="inlineStr">
        <is>
          <t>0.000</t>
        </is>
      </c>
      <c r="N59" t="inlineStr">
        <is>
          <t>0.000</t>
        </is>
      </c>
      <c r="O59" t="inlineStr">
        <is>
          <t>30</t>
        </is>
      </c>
      <c r="P59" t="inlineStr">
        <is>
          <t>5.56599</t>
        </is>
      </c>
      <c r="Q59" t="inlineStr">
        <is>
          <t>11.13198</t>
        </is>
      </c>
      <c r="R59" t="inlineStr">
        <is>
          <t>5.56599</t>
        </is>
      </c>
    </row>
    <row r="60">
      <c r="A60">
        <f>"00850061998682"</f>
        <v/>
      </c>
      <c r="B60" t="inlineStr">
        <is>
          <t>H8015A01</t>
        </is>
      </c>
      <c r="C60" t="inlineStr">
        <is>
          <t>17408218950</t>
        </is>
      </c>
      <c r="D60" t="inlineStr">
        <is>
          <t>Govee  800LM White Light LED Smart Bulb,Works with Alexa and Google Assistant,WiFi &amp; Bluetooth LED Light Bulbs,1 Pack</t>
        </is>
      </c>
      <c r="E60" t="inlineStr">
        <is>
          <t>2.600</t>
        </is>
      </c>
      <c r="F60" t="inlineStr">
        <is>
          <t>5.350</t>
        </is>
      </c>
      <c r="G60" t="inlineStr">
        <is>
          <t>2.550</t>
        </is>
      </c>
      <c r="H60" t="inlineStr">
        <is>
          <t>0.185</t>
        </is>
      </c>
      <c r="I60" t="inlineStr">
        <is>
          <t>0.000513</t>
        </is>
      </c>
      <c r="J60" t="inlineStr">
        <is>
          <t>0.000513</t>
        </is>
      </c>
      <c r="K60" t="inlineStr">
        <is>
          <t>0.001540</t>
        </is>
      </c>
      <c r="L60" t="inlineStr">
        <is>
          <t>28.833</t>
        </is>
      </c>
      <c r="M60" t="inlineStr">
        <is>
          <t>0.000</t>
        </is>
      </c>
      <c r="N60" t="inlineStr">
        <is>
          <t>0.000</t>
        </is>
      </c>
      <c r="O60" t="inlineStr">
        <is>
          <t>30</t>
        </is>
      </c>
      <c r="P60" t="inlineStr">
        <is>
          <t>0.71235</t>
        </is>
      </c>
      <c r="Q60" t="inlineStr">
        <is>
          <t>0.71235</t>
        </is>
      </c>
      <c r="R60" t="inlineStr">
        <is>
          <t>0.00000</t>
        </is>
      </c>
    </row>
    <row r="61">
      <c r="A61">
        <f>"00850076077280"</f>
        <v/>
      </c>
      <c r="B61" t="inlineStr">
        <is>
          <t>B70751D1</t>
        </is>
      </c>
      <c r="C61" t="inlineStr">
        <is>
          <t>17711755948</t>
        </is>
      </c>
      <c r="D61" t="inlineStr">
        <is>
          <t>Govee Outdoor Wall Light 2 pack</t>
        </is>
      </c>
      <c r="E61" t="inlineStr">
        <is>
          <t>17.950</t>
        </is>
      </c>
      <c r="F61" t="inlineStr">
        <is>
          <t>14.350</t>
        </is>
      </c>
      <c r="G61" t="inlineStr">
        <is>
          <t>5.050</t>
        </is>
      </c>
      <c r="H61" t="inlineStr">
        <is>
          <t>5.440</t>
        </is>
      </c>
      <c r="I61" t="inlineStr">
        <is>
          <t>0.018819</t>
        </is>
      </c>
      <c r="J61" t="inlineStr">
        <is>
          <t>0.018819</t>
        </is>
      </c>
      <c r="K61" t="inlineStr">
        <is>
          <t>0.056458</t>
        </is>
      </c>
      <c r="L61" t="inlineStr">
        <is>
          <t>114.067</t>
        </is>
      </c>
      <c r="M61" t="inlineStr">
        <is>
          <t>0.000</t>
        </is>
      </c>
      <c r="N61" t="inlineStr">
        <is>
          <t>0.000</t>
        </is>
      </c>
      <c r="O61" t="inlineStr">
        <is>
          <t>30</t>
        </is>
      </c>
      <c r="P61" t="inlineStr">
        <is>
          <t>64.39972</t>
        </is>
      </c>
      <c r="Q61" t="inlineStr">
        <is>
          <t>64.39972</t>
        </is>
      </c>
      <c r="R61" t="inlineStr">
        <is>
          <t>0.00000</t>
        </is>
      </c>
    </row>
    <row r="62">
      <c r="A62">
        <f>"00850061998606"</f>
        <v/>
      </c>
      <c r="B62" t="inlineStr">
        <is>
          <t>H806AA01</t>
        </is>
      </c>
      <c r="C62" t="inlineStr">
        <is>
          <t>19191674511</t>
        </is>
      </c>
      <c r="D62" t="inlineStr">
        <is>
          <t>Govee 100ft White Permanent Outdoor Lights Pro</t>
        </is>
      </c>
      <c r="E62" t="inlineStr">
        <is>
          <t>13.750</t>
        </is>
      </c>
      <c r="F62" t="inlineStr">
        <is>
          <t>12.550</t>
        </is>
      </c>
      <c r="G62" t="inlineStr">
        <is>
          <t>11.350</t>
        </is>
      </c>
      <c r="H62" t="inlineStr">
        <is>
          <t>8.940</t>
        </is>
      </c>
      <c r="I62" t="inlineStr">
        <is>
          <t>0.028336</t>
        </is>
      </c>
      <c r="J62" t="inlineStr">
        <is>
          <t>0.028336</t>
        </is>
      </c>
      <c r="K62" t="inlineStr">
        <is>
          <t>0.085008</t>
        </is>
      </c>
      <c r="L62" t="inlineStr">
        <is>
          <t>553.333</t>
        </is>
      </c>
      <c r="M62" t="inlineStr">
        <is>
          <t>0.000</t>
        </is>
      </c>
      <c r="N62" t="inlineStr">
        <is>
          <t>0.000</t>
        </is>
      </c>
      <c r="O62" t="inlineStr">
        <is>
          <t>30</t>
        </is>
      </c>
      <c r="P62" t="inlineStr">
        <is>
          <t>470.37761</t>
        </is>
      </c>
      <c r="Q62" t="inlineStr">
        <is>
          <t>470.37761</t>
        </is>
      </c>
      <c r="R62" t="inlineStr">
        <is>
          <t>0.00000</t>
        </is>
      </c>
    </row>
    <row r="63">
      <c r="A63">
        <f>"00850061998064"</f>
        <v/>
      </c>
      <c r="B63" t="inlineStr">
        <is>
          <t>H80D1AD1</t>
        </is>
      </c>
      <c r="C63" t="inlineStr">
        <is>
          <t>13470119909</t>
        </is>
      </c>
      <c r="D63" t="inlineStr">
        <is>
          <t>Govee Smart RGBIC Christmas Icicle Lights,H80D1AD1,Holiday Decoration With Over 78 Preset Dynamic Scene Modes,Waterproof String Lights, Corded Electric,Matter,Google Control,32.8ft</t>
        </is>
      </c>
      <c r="E63" t="inlineStr">
        <is>
          <t>9.450</t>
        </is>
      </c>
      <c r="F63" t="inlineStr">
        <is>
          <t>14.300</t>
        </is>
      </c>
      <c r="G63" t="inlineStr">
        <is>
          <t>4.900</t>
        </is>
      </c>
      <c r="H63" t="inlineStr">
        <is>
          <t>3.500</t>
        </is>
      </c>
      <c r="I63" t="inlineStr">
        <is>
          <t>0.009580</t>
        </is>
      </c>
      <c r="J63" t="inlineStr">
        <is>
          <t>0.009580</t>
        </is>
      </c>
      <c r="K63" t="inlineStr">
        <is>
          <t>0.028740</t>
        </is>
      </c>
      <c r="L63" t="inlineStr">
        <is>
          <t>0.500</t>
        </is>
      </c>
      <c r="M63" t="inlineStr">
        <is>
          <t>0.000</t>
        </is>
      </c>
      <c r="N63" t="inlineStr">
        <is>
          <t>29.100</t>
        </is>
      </c>
      <c r="O63" t="inlineStr">
        <is>
          <t>30</t>
        </is>
      </c>
      <c r="P63" t="inlineStr">
        <is>
          <t>25.23341</t>
        </is>
      </c>
      <c r="Q63" t="inlineStr">
        <is>
          <t>25.23341</t>
        </is>
      </c>
      <c r="R63" t="inlineStr">
        <is>
          <t>0.00000</t>
        </is>
      </c>
    </row>
    <row r="64">
      <c r="A64">
        <f>"00850061998989"</f>
        <v/>
      </c>
      <c r="B64" t="inlineStr">
        <is>
          <t>H6048181</t>
        </is>
      </c>
      <c r="C64" t="inlineStr">
        <is>
          <t>17150312823</t>
        </is>
      </c>
      <c r="D64" t="inlineStr">
        <is>
          <t>Govee Smart Gaming Light Bars Pro</t>
        </is>
      </c>
      <c r="E64" t="inlineStr">
        <is>
          <t>4.000</t>
        </is>
      </c>
      <c r="F64" t="inlineStr">
        <is>
          <t>2.000</t>
        </is>
      </c>
      <c r="G64" t="inlineStr">
        <is>
          <t>1.000</t>
        </is>
      </c>
      <c r="H64" t="inlineStr">
        <is>
          <t>0.999</t>
        </is>
      </c>
      <c r="I64" t="inlineStr">
        <is>
          <t>0.000116</t>
        </is>
      </c>
      <c r="J64" t="inlineStr">
        <is>
          <t>0.000116</t>
        </is>
      </c>
      <c r="K64" t="inlineStr">
        <is>
          <t>0.000347</t>
        </is>
      </c>
      <c r="L64" t="inlineStr">
        <is>
          <t>9.667</t>
        </is>
      </c>
      <c r="M64" t="inlineStr">
        <is>
          <t>0.000</t>
        </is>
      </c>
      <c r="N64" t="inlineStr">
        <is>
          <t>0.000</t>
        </is>
      </c>
      <c r="O64" t="inlineStr">
        <is>
          <t>30</t>
        </is>
      </c>
      <c r="P64" t="inlineStr">
        <is>
          <t>0.03356</t>
        </is>
      </c>
      <c r="Q64" t="inlineStr">
        <is>
          <t>0.03356</t>
        </is>
      </c>
      <c r="R64" t="inlineStr">
        <is>
          <t>0.00000</t>
        </is>
      </c>
    </row>
    <row r="65">
      <c r="A65">
        <f>"00850034049892"</f>
        <v/>
      </c>
      <c r="B65" t="inlineStr">
        <is>
          <t>H7055A11</t>
        </is>
      </c>
      <c r="C65" t="inlineStr">
        <is>
          <t>7047174493</t>
        </is>
      </c>
      <c r="D65" t="inlineStr">
        <is>
          <t>Govee Wired Electric Outdoor Path Lights, RGBICWW, 4 Pack</t>
        </is>
      </c>
      <c r="E65" t="inlineStr">
        <is>
          <t>17.550</t>
        </is>
      </c>
      <c r="F65" t="inlineStr">
        <is>
          <t>13.050</t>
        </is>
      </c>
      <c r="G65" t="inlineStr">
        <is>
          <t>3.000</t>
        </is>
      </c>
      <c r="H65" t="inlineStr">
        <is>
          <t>5.190</t>
        </is>
      </c>
      <c r="I65" t="inlineStr">
        <is>
          <t>0.009940</t>
        </is>
      </c>
      <c r="J65" t="inlineStr">
        <is>
          <t>0.009940</t>
        </is>
      </c>
      <c r="K65" t="inlineStr">
        <is>
          <t>0.029821</t>
        </is>
      </c>
      <c r="L65" t="inlineStr">
        <is>
          <t>196.333</t>
        </is>
      </c>
      <c r="M65" t="inlineStr">
        <is>
          <t>0.000</t>
        </is>
      </c>
      <c r="N65" t="inlineStr">
        <is>
          <t>0.000</t>
        </is>
      </c>
      <c r="O65" t="inlineStr">
        <is>
          <t>30</t>
        </is>
      </c>
      <c r="P65" t="inlineStr">
        <is>
          <t>33.42469</t>
        </is>
      </c>
      <c r="Q65" t="inlineStr">
        <is>
          <t>58.54913</t>
        </is>
      </c>
      <c r="R65" t="inlineStr">
        <is>
          <t>25.12444</t>
        </is>
      </c>
    </row>
    <row r="66">
      <c r="A66">
        <f>"00850034049328"</f>
        <v/>
      </c>
      <c r="B66" t="inlineStr">
        <is>
          <t>H805BA01</t>
        </is>
      </c>
      <c r="C66" t="inlineStr">
        <is>
          <t>17302600594</t>
        </is>
      </c>
      <c r="D66" t="inlineStr">
        <is>
          <t>Govee Permanent Outdoor Light 2 (Elite), RGBICW 16  Million Colors Outside Lights with 100 preset modes,IP67 Waterproof,Holiday Decorations For Christmas,Google,Alexa Support,50ft,White</t>
        </is>
      </c>
      <c r="E66" t="inlineStr">
        <is>
          <t>12.850</t>
        </is>
      </c>
      <c r="F66" t="inlineStr">
        <is>
          <t>15.050</t>
        </is>
      </c>
      <c r="G66" t="inlineStr">
        <is>
          <t>6.200</t>
        </is>
      </c>
      <c r="H66" t="inlineStr">
        <is>
          <t>4.940</t>
        </is>
      </c>
      <c r="I66" t="inlineStr">
        <is>
          <t>0.017347</t>
        </is>
      </c>
      <c r="J66" t="inlineStr">
        <is>
          <t>0.017347</t>
        </is>
      </c>
      <c r="K66" t="inlineStr">
        <is>
          <t>0.052041</t>
        </is>
      </c>
      <c r="L66" t="inlineStr">
        <is>
          <t>390.200</t>
        </is>
      </c>
      <c r="M66" t="inlineStr">
        <is>
          <t>0.000</t>
        </is>
      </c>
      <c r="N66" t="inlineStr">
        <is>
          <t>0.000</t>
        </is>
      </c>
      <c r="O66" t="inlineStr">
        <is>
          <t>30</t>
        </is>
      </c>
      <c r="P66" t="inlineStr">
        <is>
          <t>115.58392</t>
        </is>
      </c>
      <c r="Q66" t="inlineStr">
        <is>
          <t>203.06548</t>
        </is>
      </c>
      <c r="R66" t="inlineStr">
        <is>
          <t>87.48157</t>
        </is>
      </c>
    </row>
    <row r="67">
      <c r="A67">
        <f>"00850034049687"</f>
        <v/>
      </c>
      <c r="B67" t="inlineStr">
        <is>
          <t>H1011AD1</t>
        </is>
      </c>
      <c r="C67" t="inlineStr">
        <is>
          <t>5628694622</t>
        </is>
      </c>
      <c r="D67" t="inlineStr">
        <is>
          <t>Govee 24.6' Wi-Fi RGBIC Strip Light with A19 Wi-Fi 1200LM RGBWW LED Smart Light Bulb, Dimmable, Color Changing, 85W Equivalent Bulbs</t>
        </is>
      </c>
      <c r="E67" t="inlineStr">
        <is>
          <t>8.900</t>
        </is>
      </c>
      <c r="F67" t="inlineStr">
        <is>
          <t>8.550</t>
        </is>
      </c>
      <c r="G67" t="inlineStr">
        <is>
          <t>4.350</t>
        </is>
      </c>
      <c r="H67" t="inlineStr">
        <is>
          <t>2.180</t>
        </is>
      </c>
      <c r="I67" t="inlineStr">
        <is>
          <t>0.004789</t>
        </is>
      </c>
      <c r="J67" t="inlineStr">
        <is>
          <t>0.004789</t>
        </is>
      </c>
      <c r="K67" t="inlineStr">
        <is>
          <t>0.014367</t>
        </is>
      </c>
      <c r="L67" t="inlineStr">
        <is>
          <t>48.333</t>
        </is>
      </c>
      <c r="M67" t="inlineStr">
        <is>
          <t>0.000</t>
        </is>
      </c>
      <c r="N67" t="inlineStr">
        <is>
          <t>0.000</t>
        </is>
      </c>
      <c r="O67" t="inlineStr">
        <is>
          <t>30</t>
        </is>
      </c>
      <c r="P67" t="inlineStr">
        <is>
          <t>6.94400</t>
        </is>
      </c>
      <c r="Q67" t="inlineStr">
        <is>
          <t>6.94400</t>
        </is>
      </c>
      <c r="R67" t="inlineStr">
        <is>
          <t>0.00000</t>
        </is>
      </c>
    </row>
    <row r="68">
      <c r="A68">
        <f>"00850034049489"</f>
        <v/>
      </c>
      <c r="B68" t="inlineStr">
        <is>
          <t>H805AA01</t>
        </is>
      </c>
      <c r="C68" t="inlineStr">
        <is>
          <t>14562614123</t>
        </is>
      </c>
      <c r="D68" t="inlineStr">
        <is>
          <t>Govee RGBIC WiFi Wireless Outdoor Permanent String Lights, 100ft, White</t>
        </is>
      </c>
      <c r="E68" t="inlineStr">
        <is>
          <t>15.950</t>
        </is>
      </c>
      <c r="F68" t="inlineStr">
        <is>
          <t>13.100</t>
        </is>
      </c>
      <c r="G68" t="inlineStr">
        <is>
          <t>6.650</t>
        </is>
      </c>
      <c r="H68" t="inlineStr">
        <is>
          <t>7.640</t>
        </is>
      </c>
      <c r="I68" t="inlineStr">
        <is>
          <t>0.020102</t>
        </is>
      </c>
      <c r="J68" t="inlineStr">
        <is>
          <t>0.020102</t>
        </is>
      </c>
      <c r="K68" t="inlineStr">
        <is>
          <t>0.060307</t>
        </is>
      </c>
      <c r="L68" t="inlineStr">
        <is>
          <t>2813.367</t>
        </is>
      </c>
      <c r="M68" t="inlineStr">
        <is>
          <t>0.000</t>
        </is>
      </c>
      <c r="N68" t="inlineStr">
        <is>
          <t>0.000</t>
        </is>
      </c>
      <c r="O68" t="inlineStr">
        <is>
          <t>30</t>
        </is>
      </c>
      <c r="P68" t="inlineStr">
        <is>
          <t>965.33172</t>
        </is>
      </c>
      <c r="Q68" t="inlineStr">
        <is>
          <t>1696.67043</t>
        </is>
      </c>
      <c r="R68" t="inlineStr">
        <is>
          <t>731.33871</t>
        </is>
      </c>
    </row>
    <row r="69">
      <c r="A69">
        <f>"00810211390452"</f>
        <v/>
      </c>
      <c r="B69" t="inlineStr">
        <is>
          <t>H1741011</t>
        </is>
      </c>
      <c r="C69" t="inlineStr">
        <is>
          <t>19579307960</t>
        </is>
      </c>
      <c r="D69" t="inlineStr">
        <is>
          <t>Govee Smart Cordless Table Lamp Classic, RGBIC Rechargeable Table Lamp for Bedroom, Living Room, Portable Desk Lamp Works with Matter, Alexa, LED Bedside Lamp with 72 Scenes Modes, Timer, 500lm</t>
        </is>
      </c>
      <c r="E69" t="inlineStr">
        <is>
          <t>13.350</t>
        </is>
      </c>
      <c r="F69" t="inlineStr">
        <is>
          <t>10.700</t>
        </is>
      </c>
      <c r="G69" t="inlineStr">
        <is>
          <t>4.200</t>
        </is>
      </c>
      <c r="H69" t="inlineStr">
        <is>
          <t>3.020</t>
        </is>
      </c>
      <c r="I69" t="inlineStr">
        <is>
          <t>0.008680</t>
        </is>
      </c>
      <c r="J69" t="inlineStr">
        <is>
          <t>0.008680</t>
        </is>
      </c>
      <c r="K69" t="inlineStr">
        <is>
          <t>0.026039</t>
        </is>
      </c>
      <c r="L69" t="inlineStr">
        <is>
          <t>10.933</t>
        </is>
      </c>
      <c r="M69" t="inlineStr">
        <is>
          <t>0.000</t>
        </is>
      </c>
      <c r="N69" t="inlineStr">
        <is>
          <t>0.000</t>
        </is>
      </c>
      <c r="O69" t="inlineStr">
        <is>
          <t>30</t>
        </is>
      </c>
      <c r="P69" t="inlineStr">
        <is>
          <t>2.84698</t>
        </is>
      </c>
      <c r="Q69" t="inlineStr">
        <is>
          <t>2.84698</t>
        </is>
      </c>
      <c r="R69" t="inlineStr">
        <is>
          <t>0.00000</t>
        </is>
      </c>
    </row>
    <row r="70">
      <c r="A70">
        <f>"00850076077730"</f>
        <v/>
      </c>
      <c r="B70" t="inlineStr">
        <is>
          <t>R1810Z11</t>
        </is>
      </c>
      <c r="C70" t="inlineStr">
        <is>
          <t>19629157900</t>
        </is>
      </c>
      <c r="D70" t="inlineStr">
        <is>
          <t>Govee Star Light Projector with 3 Aurora Flowing Effects, Works with Matter, Alexa and Google Assistant, 52 Scene Modes, 18 White Noise Options, LED Night Light Projector for Bedroom, Without Plug</t>
        </is>
      </c>
      <c r="E70" t="inlineStr">
        <is>
          <t>10.650</t>
        </is>
      </c>
      <c r="F70" t="inlineStr">
        <is>
          <t>7.550</t>
        </is>
      </c>
      <c r="G70" t="inlineStr">
        <is>
          <t>8.250</t>
        </is>
      </c>
      <c r="H70" t="inlineStr">
        <is>
          <t>3.080</t>
        </is>
      </c>
      <c r="I70" t="inlineStr">
        <is>
          <t>0.009597</t>
        </is>
      </c>
      <c r="J70" t="inlineStr">
        <is>
          <t>0.009597</t>
        </is>
      </c>
      <c r="K70" t="inlineStr">
        <is>
          <t>0.028792</t>
        </is>
      </c>
      <c r="L70" t="inlineStr">
        <is>
          <t>349.900</t>
        </is>
      </c>
      <c r="M70" t="inlineStr">
        <is>
          <t>0.000</t>
        </is>
      </c>
      <c r="N70" t="inlineStr">
        <is>
          <t>0.000</t>
        </is>
      </c>
      <c r="O70" t="inlineStr">
        <is>
          <t>30</t>
        </is>
      </c>
      <c r="P70" t="inlineStr">
        <is>
          <t>57.35316</t>
        </is>
      </c>
      <c r="Q70" t="inlineStr">
        <is>
          <t>100.74233</t>
        </is>
      </c>
      <c r="R70" t="inlineStr">
        <is>
          <t>43.38916</t>
        </is>
      </c>
    </row>
    <row r="71">
      <c r="A71">
        <f>"00810211390230"</f>
        <v/>
      </c>
      <c r="B71" t="inlineStr">
        <is>
          <t>R1310A11</t>
        </is>
      </c>
      <c r="C71" t="inlineStr">
        <is>
          <t>20051017944</t>
        </is>
      </c>
      <c r="D71" t="inlineStr">
        <is>
          <t>Govee Smart RGBWW+RGBICWW 52inch Fan Light</t>
        </is>
      </c>
      <c r="E71" t="inlineStr">
        <is>
          <t>24.900</t>
        </is>
      </c>
      <c r="F71" t="inlineStr">
        <is>
          <t>13.750</t>
        </is>
      </c>
      <c r="G71" t="inlineStr">
        <is>
          <t>9.800</t>
        </is>
      </c>
      <c r="H71" t="inlineStr">
        <is>
          <t>18.700</t>
        </is>
      </c>
      <c r="I71" t="inlineStr">
        <is>
          <t>0.048543</t>
        </is>
      </c>
      <c r="J71" t="inlineStr">
        <is>
          <t>0.048543</t>
        </is>
      </c>
      <c r="K71" t="inlineStr">
        <is>
          <t>0.145628</t>
        </is>
      </c>
      <c r="L71" t="inlineStr">
        <is>
          <t>5.000</t>
        </is>
      </c>
      <c r="M71" t="inlineStr">
        <is>
          <t>0.000</t>
        </is>
      </c>
      <c r="N71" t="inlineStr">
        <is>
          <t>0.000</t>
        </is>
      </c>
      <c r="O71" t="inlineStr">
        <is>
          <t>30</t>
        </is>
      </c>
      <c r="P71" t="inlineStr">
        <is>
          <t>7.28141</t>
        </is>
      </c>
      <c r="Q71" t="inlineStr">
        <is>
          <t>7.28141</t>
        </is>
      </c>
      <c r="R71" t="inlineStr">
        <is>
          <t>0.00000</t>
        </is>
      </c>
    </row>
    <row r="72">
      <c r="A72">
        <f>"00810211390513"</f>
        <v/>
      </c>
      <c r="B72" t="inlineStr">
        <is>
          <t>H3501111</t>
        </is>
      </c>
      <c r="C72" t="inlineStr">
        <is>
          <t>19561461363</t>
        </is>
      </c>
      <c r="D72" t="inlineStr">
        <is>
          <t>Govee Outdoor Pathway Lights 2 Lite8pack</t>
        </is>
      </c>
      <c r="E72" t="inlineStr">
        <is>
          <t>16.000</t>
        </is>
      </c>
      <c r="F72" t="inlineStr">
        <is>
          <t>10.250</t>
        </is>
      </c>
      <c r="G72" t="inlineStr">
        <is>
          <t>6.750</t>
        </is>
      </c>
      <c r="H72" t="inlineStr">
        <is>
          <t>9.430</t>
        </is>
      </c>
      <c r="I72" t="inlineStr">
        <is>
          <t>0.016016</t>
        </is>
      </c>
      <c r="J72" t="inlineStr">
        <is>
          <t>0.016016</t>
        </is>
      </c>
      <c r="K72" t="inlineStr">
        <is>
          <t>0.048047</t>
        </is>
      </c>
      <c r="L72" t="inlineStr">
        <is>
          <t>26.300</t>
        </is>
      </c>
      <c r="M72" t="inlineStr">
        <is>
          <t>0.000</t>
        </is>
      </c>
      <c r="N72" t="inlineStr">
        <is>
          <t>0.000</t>
        </is>
      </c>
      <c r="O72" t="inlineStr">
        <is>
          <t>30</t>
        </is>
      </c>
      <c r="P72" t="inlineStr">
        <is>
          <t>12.63633</t>
        </is>
      </c>
      <c r="Q72" t="inlineStr">
        <is>
          <t>12.63633</t>
        </is>
      </c>
      <c r="R72" t="inlineStr">
        <is>
          <t>0.00000</t>
        </is>
      </c>
    </row>
    <row r="73">
      <c r="A73">
        <f>"00850076077334"</f>
        <v/>
      </c>
      <c r="B73" t="inlineStr">
        <is>
          <t>H6076183</t>
        </is>
      </c>
      <c r="C73" t="inlineStr">
        <is>
          <t>17716014489</t>
        </is>
      </c>
      <c r="D73" t="inlineStr">
        <is>
          <t>Govee RGBIC Floor Lamp Basic, led Corner Lamp Works with Alexa, Smart Modern Floor Lamp with Music Sync and 16 Million diy Colors, Color Changing Standing Lamp for Bedroom Living Room</t>
        </is>
      </c>
      <c r="E73" t="inlineStr">
        <is>
          <t>14.650</t>
        </is>
      </c>
      <c r="F73" t="inlineStr">
        <is>
          <t>12.500</t>
        </is>
      </c>
      <c r="G73" t="inlineStr">
        <is>
          <t>1.200</t>
        </is>
      </c>
      <c r="H73" t="inlineStr">
        <is>
          <t>3.690</t>
        </is>
      </c>
      <c r="I73" t="inlineStr">
        <is>
          <t>0.003179</t>
        </is>
      </c>
      <c r="J73" t="inlineStr">
        <is>
          <t>0.003179</t>
        </is>
      </c>
      <c r="K73" t="inlineStr">
        <is>
          <t>0.009538</t>
        </is>
      </c>
      <c r="L73" t="inlineStr">
        <is>
          <t>23.000</t>
        </is>
      </c>
      <c r="M73" t="inlineStr">
        <is>
          <t>0.000</t>
        </is>
      </c>
      <c r="N73" t="inlineStr">
        <is>
          <t>0.000</t>
        </is>
      </c>
      <c r="O73" t="inlineStr">
        <is>
          <t>30</t>
        </is>
      </c>
      <c r="P73" t="inlineStr">
        <is>
          <t>1.09684</t>
        </is>
      </c>
      <c r="Q73" t="inlineStr">
        <is>
          <t>2.19368</t>
        </is>
      </c>
      <c r="R73" t="inlineStr">
        <is>
          <t>1.09684</t>
        </is>
      </c>
    </row>
    <row r="74">
      <c r="A74">
        <f>"00850076077075"</f>
        <v/>
      </c>
      <c r="B74" t="inlineStr">
        <is>
          <t>H60991D1</t>
        </is>
      </c>
      <c r="C74" t="inlineStr">
        <is>
          <t>17542366815</t>
        </is>
      </c>
      <c r="D74" t="inlineStr">
        <is>
          <t>Govee RGBICW TV Backlight 3 Lite - For 55-65 Inch TVs - Black</t>
        </is>
      </c>
      <c r="E74" t="inlineStr">
        <is>
          <t>9.200</t>
        </is>
      </c>
      <c r="F74" t="inlineStr">
        <is>
          <t>8.850</t>
        </is>
      </c>
      <c r="G74" t="inlineStr">
        <is>
          <t>3.350</t>
        </is>
      </c>
      <c r="H74" t="inlineStr">
        <is>
          <t>1.680</t>
        </is>
      </c>
      <c r="I74" t="inlineStr">
        <is>
          <t>0.003946</t>
        </is>
      </c>
      <c r="J74" t="inlineStr">
        <is>
          <t>0.003946</t>
        </is>
      </c>
      <c r="K74" t="inlineStr">
        <is>
          <t>0.011838</t>
        </is>
      </c>
      <c r="L74" t="inlineStr">
        <is>
          <t>890.000</t>
        </is>
      </c>
      <c r="M74" t="inlineStr">
        <is>
          <t>0.000</t>
        </is>
      </c>
      <c r="N74" t="inlineStr">
        <is>
          <t>0.000</t>
        </is>
      </c>
      <c r="O74" t="inlineStr">
        <is>
          <t>30</t>
        </is>
      </c>
      <c r="P74" t="inlineStr">
        <is>
          <t>57.69253</t>
        </is>
      </c>
      <c r="Q74" t="inlineStr">
        <is>
          <t>105.36186</t>
        </is>
      </c>
      <c r="R74" t="inlineStr">
        <is>
          <t>47.66934</t>
        </is>
      </c>
    </row>
    <row r="75">
      <c r="A75">
        <f>"00850061998613"</f>
        <v/>
      </c>
      <c r="B75" t="inlineStr">
        <is>
          <t>H806AA11</t>
        </is>
      </c>
      <c r="C75" t="inlineStr">
        <is>
          <t>19264707358</t>
        </is>
      </c>
      <c r="D75" t="inlineStr">
        <is>
          <t>Govee 100ft Black Permanent Outdoor Lights Pro</t>
        </is>
      </c>
      <c r="E75" t="inlineStr">
        <is>
          <t>11.800</t>
        </is>
      </c>
      <c r="F75" t="inlineStr">
        <is>
          <t>7.200</t>
        </is>
      </c>
      <c r="G75" t="inlineStr">
        <is>
          <t>11.400</t>
        </is>
      </c>
      <c r="H75" t="inlineStr">
        <is>
          <t>8.960</t>
        </is>
      </c>
      <c r="I75" t="inlineStr">
        <is>
          <t>0.014013</t>
        </is>
      </c>
      <c r="J75" t="inlineStr">
        <is>
          <t>0.014013</t>
        </is>
      </c>
      <c r="K75" t="inlineStr">
        <is>
          <t>0.042038</t>
        </is>
      </c>
      <c r="L75" t="inlineStr">
        <is>
          <t>279.667</t>
        </is>
      </c>
      <c r="M75" t="inlineStr">
        <is>
          <t>0.000</t>
        </is>
      </c>
      <c r="N75" t="inlineStr">
        <is>
          <t>0.000</t>
        </is>
      </c>
      <c r="O75" t="inlineStr">
        <is>
          <t>30</t>
        </is>
      </c>
      <c r="P75" t="inlineStr">
        <is>
          <t>115.32690</t>
        </is>
      </c>
      <c r="Q75" t="inlineStr">
        <is>
          <t>115.32690</t>
        </is>
      </c>
      <c r="R75" t="inlineStr">
        <is>
          <t>0.00000</t>
        </is>
      </c>
    </row>
    <row r="76">
      <c r="A76">
        <f>"00850034049755"</f>
        <v/>
      </c>
      <c r="B76" t="inlineStr">
        <is>
          <t>B6009AC3</t>
        </is>
      </c>
      <c r="C76" t="inlineStr">
        <is>
          <t>5541528646</t>
        </is>
      </c>
      <c r="D76" t="inlineStr">
        <is>
          <t>Govee A19 Wi-Fi 1200LM RGBWW LED Smart Light Bulb,  Wi-Fi &amp; Bluetooth Light Bulbs, Dimmable, Color Changing, 85W Equivalent Bulbs,4 packs</t>
        </is>
      </c>
      <c r="E76" t="inlineStr">
        <is>
          <t>5.050</t>
        </is>
      </c>
      <c r="F76" t="inlineStr">
        <is>
          <t>5.050</t>
        </is>
      </c>
      <c r="G76" t="inlineStr">
        <is>
          <t>5.850</t>
        </is>
      </c>
      <c r="H76" t="inlineStr">
        <is>
          <t>1.850</t>
        </is>
      </c>
      <c r="I76" t="inlineStr">
        <is>
          <t>0.002158</t>
        </is>
      </c>
      <c r="J76" t="inlineStr">
        <is>
          <t>0.002158</t>
        </is>
      </c>
      <c r="K76" t="inlineStr">
        <is>
          <t>0.006475</t>
        </is>
      </c>
      <c r="L76" t="inlineStr">
        <is>
          <t>44.533</t>
        </is>
      </c>
      <c r="M76" t="inlineStr">
        <is>
          <t>0.000</t>
        </is>
      </c>
      <c r="N76" t="inlineStr">
        <is>
          <t>0.000</t>
        </is>
      </c>
      <c r="O76" t="inlineStr">
        <is>
          <t>30</t>
        </is>
      </c>
      <c r="P76" t="inlineStr">
        <is>
          <t>2.88364</t>
        </is>
      </c>
      <c r="Q76" t="inlineStr">
        <is>
          <t>2.88364</t>
        </is>
      </c>
      <c r="R76" t="inlineStr">
        <is>
          <t>0.00000</t>
        </is>
      </c>
    </row>
    <row r="77">
      <c r="A77">
        <f>"00850061998071"</f>
        <v/>
      </c>
      <c r="B77" t="inlineStr">
        <is>
          <t>B6011AC1</t>
        </is>
      </c>
      <c r="C77" t="inlineStr">
        <is>
          <t>13420756355</t>
        </is>
      </c>
      <c r="D77" t="inlineStr">
        <is>
          <t>Govee 1000LM RGBWW Smart BR30 LED Smart Bulb 2 Pack,16 million Color Options For Color Changing Effect</t>
        </is>
      </c>
      <c r="E77" t="inlineStr">
        <is>
          <t>8.050</t>
        </is>
      </c>
      <c r="F77" t="inlineStr">
        <is>
          <t>6.100</t>
        </is>
      </c>
      <c r="G77" t="inlineStr">
        <is>
          <t>4.150</t>
        </is>
      </c>
      <c r="H77" t="inlineStr">
        <is>
          <t>0.880</t>
        </is>
      </c>
      <c r="I77" t="inlineStr">
        <is>
          <t>0.002948</t>
        </is>
      </c>
      <c r="J77" t="inlineStr">
        <is>
          <t>0.002948</t>
        </is>
      </c>
      <c r="K77" t="inlineStr">
        <is>
          <t>0.008845</t>
        </is>
      </c>
      <c r="L77" t="inlineStr">
        <is>
          <t>77.933</t>
        </is>
      </c>
      <c r="M77" t="inlineStr">
        <is>
          <t>0.000</t>
        </is>
      </c>
      <c r="N77" t="inlineStr">
        <is>
          <t>0.000</t>
        </is>
      </c>
      <c r="O77" t="inlineStr">
        <is>
          <t>30</t>
        </is>
      </c>
      <c r="P77" t="inlineStr">
        <is>
          <t>6.89310</t>
        </is>
      </c>
      <c r="Q77" t="inlineStr">
        <is>
          <t>6.89310</t>
        </is>
      </c>
      <c r="R77" t="inlineStr">
        <is>
          <t>0.00000</t>
        </is>
      </c>
    </row>
    <row r="78">
      <c r="A78">
        <f>"00850076077808"</f>
        <v/>
      </c>
      <c r="B78" t="inlineStr">
        <is>
          <t>B14C11C2</t>
        </is>
      </c>
      <c r="C78" t="inlineStr">
        <is>
          <t>19904471366</t>
        </is>
      </c>
      <c r="D78" t="inlineStr">
        <is>
          <t>Govee E26 Smart Edison Light Bulb G25 500lm</t>
        </is>
      </c>
      <c r="E78" t="inlineStr">
        <is>
          <t>10.200</t>
        </is>
      </c>
      <c r="F78" t="inlineStr">
        <is>
          <t>10.750</t>
        </is>
      </c>
      <c r="G78" t="inlineStr">
        <is>
          <t>5.550</t>
        </is>
      </c>
      <c r="H78" t="inlineStr">
        <is>
          <t>0.680</t>
        </is>
      </c>
      <c r="I78" t="inlineStr">
        <is>
          <t>0.008804</t>
        </is>
      </c>
      <c r="J78" t="inlineStr">
        <is>
          <t>0.008804</t>
        </is>
      </c>
      <c r="K78" t="inlineStr">
        <is>
          <t>0.026413</t>
        </is>
      </c>
      <c r="L78" t="inlineStr">
        <is>
          <t>241.400</t>
        </is>
      </c>
      <c r="M78" t="inlineStr">
        <is>
          <t>0.000</t>
        </is>
      </c>
      <c r="N78" t="inlineStr">
        <is>
          <t>0.000</t>
        </is>
      </c>
      <c r="O78" t="inlineStr">
        <is>
          <t>30</t>
        </is>
      </c>
      <c r="P78" t="inlineStr">
        <is>
          <t>34.36783</t>
        </is>
      </c>
      <c r="Q78" t="inlineStr">
        <is>
          <t>63.76119</t>
        </is>
      </c>
      <c r="R78" t="inlineStr">
        <is>
          <t>29.39336</t>
        </is>
      </c>
    </row>
    <row r="79">
      <c r="A79">
        <f>"00810211390384"</f>
        <v/>
      </c>
      <c r="B79" t="inlineStr">
        <is>
          <t>R1630A01</t>
        </is>
      </c>
      <c r="C79" t="inlineStr">
        <is>
          <t>19944219682</t>
        </is>
      </c>
      <c r="D79" t="inlineStr">
        <is>
          <t>Govee Lantern Floor Lamp, Halo Gradient RGBIC Smart Corner Lamp with LuminBlend, 1000K-10000K, Matter Compatible, 100+Scene Modes, Music Sync, 1400lm, Modern Floor Lamps for Living Room, Bedroom,Whit</t>
        </is>
      </c>
      <c r="E79" t="inlineStr">
        <is>
          <t>17.130</t>
        </is>
      </c>
      <c r="F79" t="inlineStr">
        <is>
          <t>12.010</t>
        </is>
      </c>
      <c r="G79" t="inlineStr">
        <is>
          <t>7.600</t>
        </is>
      </c>
      <c r="H79" t="inlineStr">
        <is>
          <t>9.700</t>
        </is>
      </c>
      <c r="I79" t="inlineStr">
        <is>
          <t>0.022621</t>
        </is>
      </c>
      <c r="J79" t="inlineStr">
        <is>
          <t>0.022621</t>
        </is>
      </c>
      <c r="K79" t="inlineStr">
        <is>
          <t>0.067863</t>
        </is>
      </c>
      <c r="L79" t="inlineStr">
        <is>
          <t>25.967</t>
        </is>
      </c>
      <c r="M79" t="inlineStr">
        <is>
          <t>0.000</t>
        </is>
      </c>
      <c r="N79" t="inlineStr">
        <is>
          <t>0.000</t>
        </is>
      </c>
      <c r="O79" t="inlineStr">
        <is>
          <t>30</t>
        </is>
      </c>
      <c r="P79" t="inlineStr">
        <is>
          <t>13.54462</t>
        </is>
      </c>
      <c r="Q79" t="inlineStr">
        <is>
          <t>27.08923</t>
        </is>
      </c>
      <c r="R79" t="inlineStr">
        <is>
          <t>13.54462</t>
        </is>
      </c>
    </row>
    <row r="80">
      <c r="A80">
        <f>"00810211390360"</f>
        <v/>
      </c>
      <c r="B80" t="inlineStr">
        <is>
          <t>H16C0111</t>
        </is>
      </c>
      <c r="C80" t="inlineStr">
        <is>
          <t>19962650742</t>
        </is>
      </c>
      <c r="D80" t="inlineStr">
        <is>
          <t>Govee Floor Lamp 3 Lite, Smart RGBIC LED Corner Lamp Compatible with Alexa, SmartThings, Matter, 1400lm Dimmable Color Changing Tall Standing Light with Music Sync for Living Room Bedroom Gaming Room</t>
        </is>
      </c>
      <c r="E80" t="inlineStr">
        <is>
          <t>19.950</t>
        </is>
      </c>
      <c r="F80" t="inlineStr">
        <is>
          <t>16.150</t>
        </is>
      </c>
      <c r="G80" t="inlineStr">
        <is>
          <t>7.750</t>
        </is>
      </c>
      <c r="H80" t="inlineStr">
        <is>
          <t>6.180</t>
        </is>
      </c>
      <c r="I80" t="inlineStr">
        <is>
          <t>0.036125</t>
        </is>
      </c>
      <c r="J80" t="inlineStr">
        <is>
          <t>0.036125</t>
        </is>
      </c>
      <c r="K80" t="inlineStr">
        <is>
          <t>0.108376</t>
        </is>
      </c>
      <c r="L80" t="inlineStr">
        <is>
          <t>12.767</t>
        </is>
      </c>
      <c r="M80" t="inlineStr">
        <is>
          <t>0.000</t>
        </is>
      </c>
      <c r="N80" t="inlineStr">
        <is>
          <t>0.000</t>
        </is>
      </c>
      <c r="O80" t="inlineStr">
        <is>
          <t>30</t>
        </is>
      </c>
      <c r="P80" t="inlineStr">
        <is>
          <t>8.07404</t>
        </is>
      </c>
      <c r="Q80" t="inlineStr">
        <is>
          <t>13.83605</t>
        </is>
      </c>
      <c r="R80" t="inlineStr">
        <is>
          <t>5.76201</t>
        </is>
      </c>
    </row>
    <row r="81">
      <c r="A81">
        <f>"00810211390506"</f>
        <v/>
      </c>
      <c r="B81" t="inlineStr">
        <is>
          <t>H3500111-1</t>
        </is>
      </c>
      <c r="C81" t="inlineStr">
        <is>
          <t>19673204637</t>
        </is>
      </c>
      <c r="D81" t="inlineStr">
        <is>
          <t>Govee Outdoor Pathway Lights 2 Lite4pack</t>
        </is>
      </c>
      <c r="E81" t="inlineStr">
        <is>
          <t>16.900</t>
        </is>
      </c>
      <c r="F81" t="inlineStr">
        <is>
          <t>14.350</t>
        </is>
      </c>
      <c r="G81" t="inlineStr">
        <is>
          <t>4.000</t>
        </is>
      </c>
      <c r="H81" t="inlineStr">
        <is>
          <t>5.270</t>
        </is>
      </c>
      <c r="I81" t="inlineStr">
        <is>
          <t>0.014034</t>
        </is>
      </c>
      <c r="J81" t="inlineStr">
        <is>
          <t>0.014034</t>
        </is>
      </c>
      <c r="K81" t="inlineStr">
        <is>
          <t>0.042103</t>
        </is>
      </c>
      <c r="L81" t="inlineStr">
        <is>
          <t>38.467</t>
        </is>
      </c>
      <c r="M81" t="inlineStr">
        <is>
          <t>0.000</t>
        </is>
      </c>
      <c r="N81" t="inlineStr">
        <is>
          <t>0.000</t>
        </is>
      </c>
      <c r="O81" t="inlineStr">
        <is>
          <t>30</t>
        </is>
      </c>
      <c r="P81" t="inlineStr">
        <is>
          <t>16.19574</t>
        </is>
      </c>
      <c r="Q81" t="inlineStr">
        <is>
          <t>16.19574</t>
        </is>
      </c>
      <c r="R81" t="inlineStr">
        <is>
          <t>0.00000</t>
        </is>
      </c>
    </row>
    <row r="82">
      <c r="A82">
        <f>"00850034049618"</f>
        <v/>
      </c>
      <c r="B82" t="inlineStr">
        <is>
          <t>H6098AD3</t>
        </is>
      </c>
      <c r="C82" t="inlineStr">
        <is>
          <t>5150283692</t>
        </is>
      </c>
      <c r="D82" t="inlineStr">
        <is>
          <t>Govee Netflix DreamView T3S Smart TV Backlight (11.8ft) for 55-65 inch TVs, Voice Control, Smart Camera</t>
        </is>
      </c>
      <c r="E82" t="inlineStr">
        <is>
          <t>7.350</t>
        </is>
      </c>
      <c r="F82" t="inlineStr">
        <is>
          <t>6.900</t>
        </is>
      </c>
      <c r="G82" t="inlineStr">
        <is>
          <t>4.100</t>
        </is>
      </c>
      <c r="H82" t="inlineStr">
        <is>
          <t>1.510</t>
        </is>
      </c>
      <c r="I82" t="inlineStr">
        <is>
          <t>0.003008</t>
        </is>
      </c>
      <c r="J82" t="inlineStr">
        <is>
          <t>0.003008</t>
        </is>
      </c>
      <c r="K82" t="inlineStr">
        <is>
          <t>0.009025</t>
        </is>
      </c>
      <c r="L82" t="inlineStr">
        <is>
          <t>0.000</t>
        </is>
      </c>
      <c r="M82" t="inlineStr">
        <is>
          <t>0.000</t>
        </is>
      </c>
      <c r="N82" t="inlineStr">
        <is>
          <t>7.733</t>
        </is>
      </c>
      <c r="O82" t="inlineStr">
        <is>
          <t>30</t>
        </is>
      </c>
      <c r="P82" t="inlineStr">
        <is>
          <t>2.09375</t>
        </is>
      </c>
      <c r="Q82" t="inlineStr">
        <is>
          <t>2.09375</t>
        </is>
      </c>
      <c r="R82" t="inlineStr">
        <is>
          <t>0.00000</t>
        </is>
      </c>
    </row>
    <row r="83">
      <c r="A83">
        <f>"00850076077662"</f>
        <v/>
      </c>
      <c r="B83" t="inlineStr">
        <is>
          <t>B70761D1</t>
        </is>
      </c>
      <c r="C83" t="inlineStr">
        <is>
          <t>17886162136</t>
        </is>
      </c>
      <c r="D83" t="inlineStr">
        <is>
          <t>Govee Outdoor UpDown Wall Light</t>
        </is>
      </c>
      <c r="E83" t="inlineStr">
        <is>
          <t>17.750</t>
        </is>
      </c>
      <c r="F83" t="inlineStr">
        <is>
          <t>15.900</t>
        </is>
      </c>
      <c r="G83" t="inlineStr">
        <is>
          <t>5.850</t>
        </is>
      </c>
      <c r="H83" t="inlineStr">
        <is>
          <t>8.790</t>
        </is>
      </c>
      <c r="I83" t="inlineStr">
        <is>
          <t>0.023886</t>
        </is>
      </c>
      <c r="J83" t="inlineStr">
        <is>
          <t>0.023886</t>
        </is>
      </c>
      <c r="K83" t="inlineStr">
        <is>
          <t>0.071659</t>
        </is>
      </c>
      <c r="L83" t="inlineStr">
        <is>
          <t>28.900</t>
        </is>
      </c>
      <c r="M83" t="inlineStr">
        <is>
          <t>0.000</t>
        </is>
      </c>
      <c r="N83" t="inlineStr">
        <is>
          <t>0.000</t>
        </is>
      </c>
      <c r="O83" t="inlineStr">
        <is>
          <t>30</t>
        </is>
      </c>
      <c r="P83" t="inlineStr">
        <is>
          <t>11.93117</t>
        </is>
      </c>
      <c r="Q83" t="inlineStr">
        <is>
          <t>20.70936</t>
        </is>
      </c>
      <c r="R83" t="inlineStr">
        <is>
          <t>8.77819</t>
        </is>
      </c>
    </row>
    <row r="84">
      <c r="A84">
        <f>"00810211390469"</f>
        <v/>
      </c>
      <c r="B84" t="inlineStr">
        <is>
          <t>H605C112</t>
        </is>
      </c>
      <c r="C84" t="inlineStr">
        <is>
          <t>19282874312</t>
        </is>
      </c>
      <c r="D84" t="inlineStr">
        <is>
          <t>Govee Envisual TV Backlight T2, For 75-85 inch TVs, Dual Camera with High-Fidelity Color Sensing Technology</t>
        </is>
      </c>
      <c r="E84" t="inlineStr">
        <is>
          <t>12.150</t>
        </is>
      </c>
      <c r="F84" t="inlineStr">
        <is>
          <t>10.150</t>
        </is>
      </c>
      <c r="G84" t="inlineStr">
        <is>
          <t>4.750</t>
        </is>
      </c>
      <c r="H84" t="inlineStr">
        <is>
          <t>2.650</t>
        </is>
      </c>
      <c r="I84" t="inlineStr">
        <is>
          <t>0.008475</t>
        </is>
      </c>
      <c r="J84" t="inlineStr">
        <is>
          <t>0.008475</t>
        </is>
      </c>
      <c r="K84" t="inlineStr">
        <is>
          <t>0.025425</t>
        </is>
      </c>
      <c r="L84" t="inlineStr">
        <is>
          <t>12.800</t>
        </is>
      </c>
      <c r="M84" t="inlineStr">
        <is>
          <t>0.000</t>
        </is>
      </c>
      <c r="N84" t="inlineStr">
        <is>
          <t>0.000</t>
        </is>
      </c>
      <c r="O84" t="inlineStr">
        <is>
          <t>30</t>
        </is>
      </c>
      <c r="P84" t="inlineStr">
        <is>
          <t>3.25434</t>
        </is>
      </c>
      <c r="Q84" t="inlineStr">
        <is>
          <t>3.25434</t>
        </is>
      </c>
      <c r="R84" t="inlineStr">
        <is>
          <t>0.00000</t>
        </is>
      </c>
    </row>
    <row r="85">
      <c r="A85">
        <f>"00810211390001"</f>
        <v/>
      </c>
      <c r="B85" t="inlineStr">
        <is>
          <t>H8120111</t>
        </is>
      </c>
      <c r="C85" t="inlineStr">
        <is>
          <t>19081603229</t>
        </is>
      </c>
      <c r="D85" t="inlineStr">
        <is>
          <t>GoveeLife Smart Nugget Ice Maker Pro</t>
        </is>
      </c>
      <c r="E85" t="inlineStr">
        <is>
          <t>24.000</t>
        </is>
      </c>
      <c r="F85" t="inlineStr">
        <is>
          <t>14.000</t>
        </is>
      </c>
      <c r="G85" t="inlineStr">
        <is>
          <t>19.000</t>
        </is>
      </c>
      <c r="H85" t="inlineStr">
        <is>
          <t>35.000</t>
        </is>
      </c>
      <c r="I85" t="inlineStr">
        <is>
          <t>0.092361</t>
        </is>
      </c>
      <c r="J85" t="inlineStr">
        <is>
          <t>0.092361</t>
        </is>
      </c>
      <c r="K85" t="inlineStr">
        <is>
          <t>0.277083</t>
        </is>
      </c>
      <c r="L85" t="inlineStr">
        <is>
          <t>4.967</t>
        </is>
      </c>
      <c r="M85" t="inlineStr">
        <is>
          <t>0.000</t>
        </is>
      </c>
      <c r="N85" t="inlineStr">
        <is>
          <t>0.000</t>
        </is>
      </c>
      <c r="O85" t="inlineStr">
        <is>
          <t>30</t>
        </is>
      </c>
      <c r="P85" t="inlineStr">
        <is>
          <t>6.88090</t>
        </is>
      </c>
      <c r="Q85" t="inlineStr">
        <is>
          <t>13.76181</t>
        </is>
      </c>
      <c r="R85" t="inlineStr">
        <is>
          <t>6.88090</t>
        </is>
      </c>
    </row>
    <row r="86">
      <c r="A86">
        <f>"00810211390643"</f>
        <v/>
      </c>
      <c r="B86" t="inlineStr">
        <is>
          <t>H3200111</t>
        </is>
      </c>
      <c r="C86" t="inlineStr">
        <is>
          <t>19582813541</t>
        </is>
      </c>
      <c r="D86" t="inlineStr">
        <is>
          <t>Govee Outdoor Spotlights Lite 4 Pack, IP67 Waterproof Spotlights, RGBWIC Color Changing Light for Outdoor Decor, Patio Decor</t>
        </is>
      </c>
      <c r="E86" t="inlineStr">
        <is>
          <t>12.850</t>
        </is>
      </c>
      <c r="F86" t="inlineStr">
        <is>
          <t>16.800</t>
        </is>
      </c>
      <c r="G86" t="inlineStr">
        <is>
          <t>3.950</t>
        </is>
      </c>
      <c r="H86" t="inlineStr">
        <is>
          <t>3.350</t>
        </is>
      </c>
      <c r="I86" t="inlineStr">
        <is>
          <t>0.012337</t>
        </is>
      </c>
      <c r="J86" t="inlineStr">
        <is>
          <t>0.012337</t>
        </is>
      </c>
      <c r="K86" t="inlineStr">
        <is>
          <t>0.037011</t>
        </is>
      </c>
      <c r="L86" t="inlineStr">
        <is>
          <t>14.033</t>
        </is>
      </c>
      <c r="M86" t="inlineStr">
        <is>
          <t>0.000</t>
        </is>
      </c>
      <c r="N86" t="inlineStr">
        <is>
          <t>0.000</t>
        </is>
      </c>
      <c r="O86" t="inlineStr">
        <is>
          <t>30</t>
        </is>
      </c>
      <c r="P86" t="inlineStr">
        <is>
          <t>2.96702</t>
        </is>
      </c>
      <c r="Q86" t="inlineStr">
        <is>
          <t>5.19383</t>
        </is>
      </c>
      <c r="R86" t="inlineStr">
        <is>
          <t>2.22681</t>
        </is>
      </c>
    </row>
    <row r="87">
      <c r="A87">
        <f>"00810211390445"</f>
        <v/>
      </c>
      <c r="B87" t="inlineStr">
        <is>
          <t>H610A1D1</t>
        </is>
      </c>
      <c r="C87" t="inlineStr">
        <is>
          <t>19324107397</t>
        </is>
      </c>
      <c r="D87" t="inlineStr">
        <is>
          <t>Govee Glide Lively Wall Light</t>
        </is>
      </c>
      <c r="E87" t="inlineStr">
        <is>
          <t>7.170</t>
        </is>
      </c>
      <c r="F87" t="inlineStr">
        <is>
          <t>16.770</t>
        </is>
      </c>
      <c r="G87" t="inlineStr">
        <is>
          <t>2.360</t>
        </is>
      </c>
      <c r="H87" t="inlineStr">
        <is>
          <t>2.270</t>
        </is>
      </c>
      <c r="I87" t="inlineStr">
        <is>
          <t>0.004105</t>
        </is>
      </c>
      <c r="J87" t="inlineStr">
        <is>
          <t>0.004105</t>
        </is>
      </c>
      <c r="K87" t="inlineStr">
        <is>
          <t>0.012316</t>
        </is>
      </c>
      <c r="L87" t="inlineStr">
        <is>
          <t>28.200</t>
        </is>
      </c>
      <c r="M87" t="inlineStr">
        <is>
          <t>0.000</t>
        </is>
      </c>
      <c r="N87" t="inlineStr">
        <is>
          <t>0.000</t>
        </is>
      </c>
      <c r="O87" t="inlineStr">
        <is>
          <t>30</t>
        </is>
      </c>
      <c r="P87" t="inlineStr">
        <is>
          <t>3.47321</t>
        </is>
      </c>
      <c r="Q87" t="inlineStr">
        <is>
          <t>3.47321</t>
        </is>
      </c>
      <c r="R87" t="inlineStr">
        <is>
          <t>0.00000</t>
        </is>
      </c>
    </row>
    <row r="88">
      <c r="A88">
        <f>"00810211390025"</f>
        <v/>
      </c>
      <c r="B88" t="inlineStr">
        <is>
          <t>B14C11C4</t>
        </is>
      </c>
      <c r="C88" t="inlineStr">
        <is>
          <t>19924500540</t>
        </is>
      </c>
      <c r="D88" t="inlineStr">
        <is>
          <t>Govee E26 Smart Edison Light Bulb G25 500lm, 4 pack</t>
        </is>
      </c>
      <c r="E88" t="inlineStr">
        <is>
          <t>12.950</t>
        </is>
      </c>
      <c r="F88" t="inlineStr">
        <is>
          <t>11.550</t>
        </is>
      </c>
      <c r="G88" t="inlineStr">
        <is>
          <t>3.300</t>
        </is>
      </c>
      <c r="H88" t="inlineStr">
        <is>
          <t>1.200</t>
        </is>
      </c>
      <c r="I88" t="inlineStr">
        <is>
          <t>0.007141</t>
        </is>
      </c>
      <c r="J88" t="inlineStr">
        <is>
          <t>0.007141</t>
        </is>
      </c>
      <c r="K88" t="inlineStr">
        <is>
          <t>0.021423</t>
        </is>
      </c>
      <c r="L88" t="inlineStr">
        <is>
          <t>147.600</t>
        </is>
      </c>
      <c r="M88" t="inlineStr">
        <is>
          <t>0.000</t>
        </is>
      </c>
      <c r="N88" t="inlineStr">
        <is>
          <t>0.000</t>
        </is>
      </c>
      <c r="O88" t="inlineStr">
        <is>
          <t>30</t>
        </is>
      </c>
      <c r="P88" t="inlineStr">
        <is>
          <t>17.09567</t>
        </is>
      </c>
      <c r="Q88" t="inlineStr">
        <is>
          <t>31.62056</t>
        </is>
      </c>
      <c r="R88" t="inlineStr">
        <is>
          <t>14.52489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87"/>
  <sheetViews>
    <sheetView workbookViewId="0">
      <selection activeCell="A1" sqref="A1"/>
    </sheetView>
  </sheetViews>
  <sheetFormatPr baseColWidth="8" defaultRowHeight="15"/>
  <sheetData>
    <row r="1">
      <c r="A1" t="inlineStr">
        <is>
          <t>Govee Moments (US) Trading Limited</t>
        </is>
      </c>
    </row>
    <row r="2">
      <c r="A2" t="inlineStr">
        <is>
          <t>View WFS storage fees and how they're calculated at: https://marketplacelearn.walmart.com/guides/Walmart%20Fulfillment%20Services%20(WFS)/WFS%20basics/WFS-fees#Storage</t>
        </is>
      </c>
    </row>
    <row r="4">
      <c r="A4" t="inlineStr">
        <is>
          <t>Report start date</t>
        </is>
      </c>
      <c r="B4" t="inlineStr">
        <is>
          <t>Report end date</t>
        </is>
      </c>
      <c r="C4" t="inlineStr">
        <is>
          <t>Total storage fees</t>
        </is>
      </c>
      <c r="D4" t="inlineStr">
        <is>
          <t>Standard storage fees</t>
        </is>
      </c>
      <c r="E4" t="inlineStr">
        <is>
          <t>Peak storage fees</t>
        </is>
      </c>
      <c r="F4" t="inlineStr">
        <is>
          <t>Long-term storage fees</t>
        </is>
      </c>
    </row>
    <row r="5">
      <c r="A5" t="inlineStr">
        <is>
          <t>2026-05-12</t>
        </is>
      </c>
      <c r="B5" t="inlineStr">
        <is>
          <t>2026-06-10</t>
        </is>
      </c>
      <c r="C5" t="inlineStr">
        <is>
          <t>3307.49</t>
        </is>
      </c>
      <c r="D5" t="inlineStr">
        <is>
          <t>3248.411</t>
        </is>
      </c>
      <c r="E5" t="inlineStr">
        <is>
          <t>0.000</t>
        </is>
      </c>
      <c r="F5" t="inlineStr">
        <is>
          <t>59.074</t>
        </is>
      </c>
    </row>
    <row r="7">
      <c r="A7" t="inlineStr">
        <is>
          <t>GTIN</t>
        </is>
      </c>
      <c r="B7" t="inlineStr">
        <is>
          <t>SKU</t>
        </is>
      </c>
      <c r="C7" t="inlineStr">
        <is>
          <t>Item ID</t>
        </is>
      </c>
      <c r="D7" t="inlineStr">
        <is>
          <t>Item Name</t>
        </is>
      </c>
      <c r="E7" t="inlineStr">
        <is>
          <t>Length (in)</t>
        </is>
      </c>
      <c r="F7" t="inlineStr">
        <is>
          <t>Width (in)</t>
        </is>
      </c>
      <c r="G7" t="inlineStr">
        <is>
          <t>Height (in)</t>
        </is>
      </c>
      <c r="H7" t="inlineStr">
        <is>
          <t>Weight (lb)</t>
        </is>
      </c>
      <c r="I7" t="inlineStr">
        <is>
          <t>Standard: daily storage fee per unit</t>
        </is>
      </c>
      <c r="J7" t="inlineStr">
        <is>
          <t>Peak: daily storage fee per unit</t>
        </is>
      </c>
      <c r="K7" t="inlineStr">
        <is>
          <t>Long-term: daily storage fee per unit</t>
        </is>
      </c>
      <c r="L7" t="inlineStr">
        <is>
          <t>Standard: average units available</t>
        </is>
      </c>
      <c r="M7" t="inlineStr">
        <is>
          <t>Peak: average units available</t>
        </is>
      </c>
      <c r="N7" t="inlineStr">
        <is>
          <t>Long-term: average units available</t>
        </is>
      </c>
      <c r="O7" t="inlineStr">
        <is>
          <t>Days in report period</t>
        </is>
      </c>
      <c r="P7" t="inlineStr">
        <is>
          <t>Final storage fee</t>
        </is>
      </c>
      <c r="Q7" t="inlineStr">
        <is>
          <t>Original Amount</t>
        </is>
      </c>
      <c r="R7" t="inlineStr">
        <is>
          <t>Discount Savings</t>
        </is>
      </c>
    </row>
    <row r="8">
      <c r="A8" t="inlineStr">
        <is>
          <t>14-digit Global Trade Item Number, including check digit, that's unique to the item. If it's less than 14 digits, add zeros at the beginning</t>
        </is>
      </c>
      <c r="B8" t="inlineStr">
        <is>
          <t>Unique identifier created by you</t>
        </is>
      </c>
      <c r="C8" t="inlineStr">
        <is>
          <t>Unique identifier assigned by Walmart</t>
        </is>
      </c>
      <c r="D8" t="inlineStr">
        <is>
          <t>Title of the item</t>
        </is>
      </c>
      <c r="E8" t="inlineStr">
        <is>
          <t>Length of the packaged item, as measured by the fulfillment center</t>
        </is>
      </c>
      <c r="F8" t="inlineStr">
        <is>
          <t>Width of the packaged item, as measured by the fulfillment center</t>
        </is>
      </c>
      <c r="G8" t="inlineStr">
        <is>
          <t>Height of the packaged item, as measured by the fulfillment center</t>
        </is>
      </c>
      <c r="H8" t="inlineStr">
        <is>
          <t>Weight of the packaged item, as measured by the fulfillment center</t>
        </is>
      </c>
      <c r="I8" t="inlineStr">
        <is>
          <t>Daily fee when item is stored fewer than 365 days during January to September</t>
        </is>
      </c>
      <c r="J8" t="inlineStr">
        <is>
          <t>Daily fee when item is stored during the peak months of October to December</t>
        </is>
      </c>
      <c r="K8" t="inlineStr">
        <is>
          <t>Daily fee when item is stored for more than 365 days</t>
        </is>
      </c>
      <c r="L8" t="inlineStr">
        <is>
          <t>Average number of units on hand during this report period that were charged the standard storage fee</t>
        </is>
      </c>
      <c r="M8" t="inlineStr">
        <is>
          <t>Average number of units on hand during this report period that were charged the peak storage fee</t>
        </is>
      </c>
      <c r="N8" t="inlineStr">
        <is>
          <t>Average number of units on hand during this report period that were charged the long-term storage fee</t>
        </is>
      </c>
      <c r="O8" t="inlineStr">
        <is>
          <t>Number of days used to calculate the final storage fee</t>
        </is>
      </c>
      <c r="P8" t="inlineStr">
        <is>
          <t>To find the final storage fee, multiply each fee by its average units available and the days in report period. Then apply any discounts</t>
        </is>
      </c>
      <c r="Q8" t="inlineStr">
        <is>
          <t>Total storage fees without any discounts applied</t>
        </is>
      </c>
      <c r="R8" t="inlineStr">
        <is>
          <t>How much you saved with the discount</t>
        </is>
      </c>
    </row>
    <row r="9">
      <c r="A9">
        <f>"00850061998583"</f>
        <v/>
      </c>
      <c r="B9" t="inlineStr">
        <is>
          <t>H60B0A11</t>
        </is>
      </c>
      <c r="C9" t="inlineStr">
        <is>
          <t>17115018059</t>
        </is>
      </c>
      <c r="D9" t="inlineStr">
        <is>
          <t>Govee Floor Lamp RGBIC Ripple Projector Modern Style - LED, Dimmable, 1000lm, White</t>
        </is>
      </c>
      <c r="E9" t="inlineStr">
        <is>
          <t>21.700</t>
        </is>
      </c>
      <c r="F9" t="inlineStr">
        <is>
          <t>18.850</t>
        </is>
      </c>
      <c r="G9" t="inlineStr">
        <is>
          <t>8.250</t>
        </is>
      </c>
      <c r="H9" t="inlineStr">
        <is>
          <t>12.880</t>
        </is>
      </c>
      <c r="I9" t="inlineStr">
        <is>
          <t>0.048823</t>
        </is>
      </c>
      <c r="J9" t="inlineStr">
        <is>
          <t>0.048823</t>
        </is>
      </c>
      <c r="K9" t="inlineStr">
        <is>
          <t>0.146468</t>
        </is>
      </c>
      <c r="L9" t="inlineStr">
        <is>
          <t>237.500</t>
        </is>
      </c>
      <c r="M9" t="inlineStr">
        <is>
          <t>0.000</t>
        </is>
      </c>
      <c r="N9" t="inlineStr">
        <is>
          <t>0.000</t>
        </is>
      </c>
      <c r="O9" t="inlineStr">
        <is>
          <t>30</t>
        </is>
      </c>
      <c r="P9" t="inlineStr">
        <is>
          <t>71.99213</t>
        </is>
      </c>
      <c r="Q9" t="inlineStr">
        <is>
          <t>131.09508</t>
        </is>
      </c>
      <c r="R9" t="inlineStr">
        <is>
          <t>59.10295</t>
        </is>
      </c>
    </row>
    <row r="10">
      <c r="A10">
        <f>"00850076077181"</f>
        <v/>
      </c>
      <c r="B10" t="inlineStr">
        <is>
          <t>H70381B1</t>
        </is>
      </c>
      <c r="C10" t="inlineStr">
        <is>
          <t>17601722166</t>
        </is>
      </c>
      <c r="D10" t="inlineStr">
        <is>
          <t>Govee Smart Outdoor String Lights 2, 96ft,RGBIC, Dimmable Warm White, 47 Scenes, IP65, Alexa,App Control</t>
        </is>
      </c>
      <c r="E10" t="inlineStr">
        <is>
          <t>14.600</t>
        </is>
      </c>
      <c r="F10" t="inlineStr">
        <is>
          <t>16.450</t>
        </is>
      </c>
      <c r="G10" t="inlineStr">
        <is>
          <t>11.200</t>
        </is>
      </c>
      <c r="H10" t="inlineStr">
        <is>
          <t>5.150</t>
        </is>
      </c>
      <c r="I10" t="inlineStr">
        <is>
          <t>0.038916</t>
        </is>
      </c>
      <c r="J10" t="inlineStr">
        <is>
          <t>0.038916</t>
        </is>
      </c>
      <c r="K10" t="inlineStr">
        <is>
          <t>0.116749</t>
        </is>
      </c>
      <c r="L10" t="inlineStr">
        <is>
          <t>99.167</t>
        </is>
      </c>
      <c r="M10" t="inlineStr">
        <is>
          <t>0.000</t>
        </is>
      </c>
      <c r="N10" t="inlineStr">
        <is>
          <t>0.000</t>
        </is>
      </c>
      <c r="O10" t="inlineStr">
        <is>
          <t>30</t>
        </is>
      </c>
      <c r="P10" t="inlineStr">
        <is>
          <t>115.77639</t>
        </is>
      </c>
      <c r="Q10" t="inlineStr">
        <is>
          <t>115.77639</t>
        </is>
      </c>
      <c r="R10" t="inlineStr">
        <is>
          <t>0.00000</t>
        </is>
      </c>
    </row>
    <row r="11">
      <c r="A11">
        <f>"00850061998361"</f>
        <v/>
      </c>
      <c r="B11" t="inlineStr">
        <is>
          <t>H8630A81</t>
        </is>
      </c>
      <c r="C11" t="inlineStr">
        <is>
          <t>17037251446</t>
        </is>
      </c>
      <c r="D11" t="inlineStr">
        <is>
          <t>Govee Smart Pixel LED Gaming Light for Desk, 150+ Scene Modes &amp; DIY, Works with Alexa, Ideal for Game Room Decor, 32x32 Pixels</t>
        </is>
      </c>
      <c r="E11" t="inlineStr">
        <is>
          <t>4.700</t>
        </is>
      </c>
      <c r="F11" t="inlineStr">
        <is>
          <t>8.000</t>
        </is>
      </c>
      <c r="G11" t="inlineStr">
        <is>
          <t>8.450</t>
        </is>
      </c>
      <c r="H11" t="inlineStr">
        <is>
          <t>2.075</t>
        </is>
      </c>
      <c r="I11" t="inlineStr">
        <is>
          <t>0.004597</t>
        </is>
      </c>
      <c r="J11" t="inlineStr">
        <is>
          <t>0.004597</t>
        </is>
      </c>
      <c r="K11" t="inlineStr">
        <is>
          <t>0.013790</t>
        </is>
      </c>
      <c r="L11" t="inlineStr">
        <is>
          <t>19.433</t>
        </is>
      </c>
      <c r="M11" t="inlineStr">
        <is>
          <t>0.000</t>
        </is>
      </c>
      <c r="N11" t="inlineStr">
        <is>
          <t>0.000</t>
        </is>
      </c>
      <c r="O11" t="inlineStr">
        <is>
          <t>30</t>
        </is>
      </c>
      <c r="P11" t="inlineStr">
        <is>
          <t>2.67984</t>
        </is>
      </c>
      <c r="Q11" t="inlineStr">
        <is>
          <t>2.67984</t>
        </is>
      </c>
      <c r="R11" t="inlineStr">
        <is>
          <t>0.00000</t>
        </is>
      </c>
    </row>
    <row r="12">
      <c r="A12">
        <f>"00850034049373"</f>
        <v/>
      </c>
      <c r="B12" t="inlineStr">
        <is>
          <t>B6062A01</t>
        </is>
      </c>
      <c r="C12" t="inlineStr">
        <is>
          <t>1434433379</t>
        </is>
      </c>
      <c r="D12" t="inlineStr">
        <is>
          <t>Govee Glide A1 Indoor Smart LED Wall Lights (4+1) , B6062A01, 40 Dynamic Scene Modes For Gaming Room Decor,Support APP Control,Voice Control</t>
        </is>
      </c>
      <c r="E12" t="inlineStr">
        <is>
          <t>6.200</t>
        </is>
      </c>
      <c r="F12" t="inlineStr">
        <is>
          <t>14.000</t>
        </is>
      </c>
      <c r="G12" t="inlineStr">
        <is>
          <t>2.450</t>
        </is>
      </c>
      <c r="H12" t="inlineStr">
        <is>
          <t>2.025</t>
        </is>
      </c>
      <c r="I12" t="inlineStr">
        <is>
          <t>0.003077</t>
        </is>
      </c>
      <c r="J12" t="inlineStr">
        <is>
          <t>0.003077</t>
        </is>
      </c>
      <c r="K12" t="inlineStr">
        <is>
          <t>0.009230</t>
        </is>
      </c>
      <c r="L12" t="inlineStr">
        <is>
          <t>0.267</t>
        </is>
      </c>
      <c r="M12" t="inlineStr">
        <is>
          <t>0.000</t>
        </is>
      </c>
      <c r="N12" t="inlineStr">
        <is>
          <t>0.000</t>
        </is>
      </c>
      <c r="O12" t="inlineStr">
        <is>
          <t>30</t>
        </is>
      </c>
      <c r="P12" t="inlineStr">
        <is>
          <t>0.02461</t>
        </is>
      </c>
      <c r="Q12" t="inlineStr">
        <is>
          <t>0.02461</t>
        </is>
      </c>
      <c r="R12" t="inlineStr">
        <is>
          <t>0.00000</t>
        </is>
      </c>
    </row>
    <row r="13">
      <c r="A13">
        <f>"00850061998187"</f>
        <v/>
      </c>
      <c r="B13" t="inlineStr">
        <is>
          <t>H7078AD1</t>
        </is>
      </c>
      <c r="C13" t="inlineStr">
        <is>
          <t>13477259156</t>
        </is>
      </c>
      <c r="D13" t="inlineStr">
        <is>
          <t>Govee Smart Outdoor Wall Light For House, LED Multicolor Dimmable, IP65 Waterproof, Wi-Fi Control,Corded Electric, 1 Pack</t>
        </is>
      </c>
      <c r="E13" t="inlineStr">
        <is>
          <t>6.700</t>
        </is>
      </c>
      <c r="F13" t="inlineStr">
        <is>
          <t>15.750</t>
        </is>
      </c>
      <c r="G13" t="inlineStr">
        <is>
          <t>4.900</t>
        </is>
      </c>
      <c r="H13" t="inlineStr">
        <is>
          <t>3.610</t>
        </is>
      </c>
      <c r="I13" t="inlineStr">
        <is>
          <t>0.007481</t>
        </is>
      </c>
      <c r="J13" t="inlineStr">
        <is>
          <t>0.007481</t>
        </is>
      </c>
      <c r="K13" t="inlineStr">
        <is>
          <t>0.022442</t>
        </is>
      </c>
      <c r="L13" t="inlineStr">
        <is>
          <t>2.900</t>
        </is>
      </c>
      <c r="M13" t="inlineStr">
        <is>
          <t>0.000</t>
        </is>
      </c>
      <c r="N13" t="inlineStr">
        <is>
          <t>47.367</t>
        </is>
      </c>
      <c r="O13" t="inlineStr">
        <is>
          <t>30</t>
        </is>
      </c>
      <c r="P13" t="inlineStr">
        <is>
          <t>32.26093</t>
        </is>
      </c>
      <c r="Q13" t="inlineStr">
        <is>
          <t>32.54146</t>
        </is>
      </c>
      <c r="R13" t="inlineStr">
        <is>
          <t>0.28053</t>
        </is>
      </c>
    </row>
    <row r="14">
      <c r="A14">
        <f>"00850061998903"</f>
        <v/>
      </c>
      <c r="B14" t="inlineStr">
        <is>
          <t>A806A001</t>
        </is>
      </c>
      <c r="C14" t="inlineStr">
        <is>
          <t>19686465572</t>
        </is>
      </c>
      <c r="D14" t="inlineStr">
        <is>
          <t>Govee White Permanent Outdoor Lights Pro ExpansionString</t>
        </is>
      </c>
      <c r="E14" t="inlineStr">
        <is>
          <t>6.850</t>
        </is>
      </c>
      <c r="F14" t="inlineStr">
        <is>
          <t>6.050</t>
        </is>
      </c>
      <c r="G14" t="inlineStr">
        <is>
          <t>2.700</t>
        </is>
      </c>
      <c r="H14" t="inlineStr">
        <is>
          <t>1.000</t>
        </is>
      </c>
      <c r="I14" t="inlineStr">
        <is>
          <t>0.001619</t>
        </is>
      </c>
      <c r="J14" t="inlineStr">
        <is>
          <t>0.001619</t>
        </is>
      </c>
      <c r="K14" t="inlineStr">
        <is>
          <t>0.004857</t>
        </is>
      </c>
      <c r="L14" t="inlineStr">
        <is>
          <t>183.133</t>
        </is>
      </c>
      <c r="M14" t="inlineStr">
        <is>
          <t>0.000</t>
        </is>
      </c>
      <c r="N14" t="inlineStr">
        <is>
          <t>0.000</t>
        </is>
      </c>
      <c r="O14" t="inlineStr">
        <is>
          <t>30</t>
        </is>
      </c>
      <c r="P14" t="inlineStr">
        <is>
          <t>8.89395</t>
        </is>
      </c>
      <c r="Q14" t="inlineStr">
        <is>
          <t>8.89395</t>
        </is>
      </c>
      <c r="R14" t="inlineStr">
        <is>
          <t>0.00000</t>
        </is>
      </c>
    </row>
    <row r="15">
      <c r="A15">
        <f>"00850034049410"</f>
        <v/>
      </c>
      <c r="B15" t="inlineStr">
        <is>
          <t>H805AA11</t>
        </is>
      </c>
      <c r="C15" t="inlineStr">
        <is>
          <t>14961722303</t>
        </is>
      </c>
      <c r="D15" t="inlineStr">
        <is>
          <t>Govee Permanent Outdoor Light 2 (Elite), RGBICW 16 Million Colors Outside Lights with 100 preset modes,IP67 Waterproof,Holiday Decorations For Christmas,Google,Alexa Support,100ft,Black</t>
        </is>
      </c>
      <c r="E15" t="inlineStr">
        <is>
          <t>14.750</t>
        </is>
      </c>
      <c r="F15" t="inlineStr">
        <is>
          <t>8.950</t>
        </is>
      </c>
      <c r="G15" t="inlineStr">
        <is>
          <t>6.200</t>
        </is>
      </c>
      <c r="H15" t="inlineStr">
        <is>
          <t>7.615</t>
        </is>
      </c>
      <c r="I15" t="inlineStr">
        <is>
          <t>0.011841</t>
        </is>
      </c>
      <c r="J15" t="inlineStr">
        <is>
          <t>0.011841</t>
        </is>
      </c>
      <c r="K15" t="inlineStr">
        <is>
          <t>0.035524</t>
        </is>
      </c>
      <c r="L15" t="inlineStr">
        <is>
          <t>263.833</t>
        </is>
      </c>
      <c r="M15" t="inlineStr">
        <is>
          <t>0.000</t>
        </is>
      </c>
      <c r="N15" t="inlineStr">
        <is>
          <t>0.000</t>
        </is>
      </c>
      <c r="O15" t="inlineStr">
        <is>
          <t>30</t>
        </is>
      </c>
      <c r="P15" t="inlineStr">
        <is>
          <t>53.43431</t>
        </is>
      </c>
      <c r="Q15" t="inlineStr">
        <is>
          <t>93.72467</t>
        </is>
      </c>
      <c r="R15" t="inlineStr">
        <is>
          <t>40.29036</t>
        </is>
      </c>
    </row>
    <row r="16">
      <c r="A16">
        <f>"00850061998026"</f>
        <v/>
      </c>
      <c r="B16" t="inlineStr">
        <is>
          <t>B801CAC3</t>
        </is>
      </c>
      <c r="C16" t="inlineStr">
        <is>
          <t>13476521213</t>
        </is>
      </c>
      <c r="D16" t="inlineStr">
        <is>
          <t>Govee Smart 6'' LED Retrofit Recessed Can Lights for Indoor Living Room, Ceiling Light, Dimmable, Color Changing, LED Light Bulbs, 4 Pack</t>
        </is>
      </c>
      <c r="E16" t="inlineStr">
        <is>
          <t>9.050</t>
        </is>
      </c>
      <c r="F16" t="inlineStr">
        <is>
          <t>15.050</t>
        </is>
      </c>
      <c r="G16" t="inlineStr">
        <is>
          <t>7.800</t>
        </is>
      </c>
      <c r="H16" t="inlineStr">
        <is>
          <t>4.570</t>
        </is>
      </c>
      <c r="I16" t="inlineStr">
        <is>
          <t>0.015370</t>
        </is>
      </c>
      <c r="J16" t="inlineStr">
        <is>
          <t>0.015370</t>
        </is>
      </c>
      <c r="K16" t="inlineStr">
        <is>
          <t>0.046110</t>
        </is>
      </c>
      <c r="L16" t="inlineStr">
        <is>
          <t>33.733</t>
        </is>
      </c>
      <c r="M16" t="inlineStr">
        <is>
          <t>0.000</t>
        </is>
      </c>
      <c r="N16" t="inlineStr">
        <is>
          <t>0.000</t>
        </is>
      </c>
      <c r="O16" t="inlineStr">
        <is>
          <t>30</t>
        </is>
      </c>
      <c r="P16" t="inlineStr">
        <is>
          <t>15.55451</t>
        </is>
      </c>
      <c r="Q16" t="inlineStr">
        <is>
          <t>15.55451</t>
        </is>
      </c>
      <c r="R16" t="inlineStr">
        <is>
          <t>0.00000</t>
        </is>
      </c>
    </row>
    <row r="17">
      <c r="A17">
        <f>"00850034049397"</f>
        <v/>
      </c>
      <c r="B17" t="inlineStr">
        <is>
          <t>H6172AD1</t>
        </is>
      </c>
      <c r="C17" t="inlineStr">
        <is>
          <t>1041721238</t>
        </is>
      </c>
      <c r="D17" t="inlineStr">
        <is>
          <t>Govee 32.8ft RGBIC Outdoor LED Strip Light with Warm and Cold White, WiFi Smart Lights Outdoor, IP65 Waterproof, Work with Alexa and Google Assistant, Remote Control</t>
        </is>
      </c>
      <c r="E17" t="inlineStr">
        <is>
          <t>10.700</t>
        </is>
      </c>
      <c r="F17" t="inlineStr">
        <is>
          <t>10.450</t>
        </is>
      </c>
      <c r="G17" t="inlineStr">
        <is>
          <t>3.000</t>
        </is>
      </c>
      <c r="H17" t="inlineStr">
        <is>
          <t>2.320</t>
        </is>
      </c>
      <c r="I17" t="inlineStr">
        <is>
          <t>0.004853</t>
        </is>
      </c>
      <c r="J17" t="inlineStr">
        <is>
          <t>0.004853</t>
        </is>
      </c>
      <c r="K17" t="inlineStr">
        <is>
          <t>0.014559</t>
        </is>
      </c>
      <c r="L17" t="inlineStr">
        <is>
          <t>94.500</t>
        </is>
      </c>
      <c r="M17" t="inlineStr">
        <is>
          <t>0.000</t>
        </is>
      </c>
      <c r="N17" t="inlineStr">
        <is>
          <t>0.000</t>
        </is>
      </c>
      <c r="O17" t="inlineStr">
        <is>
          <t>30</t>
        </is>
      </c>
      <c r="P17" t="inlineStr">
        <is>
          <t>7.85957</t>
        </is>
      </c>
      <c r="Q17" t="inlineStr">
        <is>
          <t>13.75849</t>
        </is>
      </c>
      <c r="R17" t="inlineStr">
        <is>
          <t>5.89892</t>
        </is>
      </c>
    </row>
    <row r="18">
      <c r="A18">
        <f>"00850034049601"</f>
        <v/>
      </c>
      <c r="B18" t="inlineStr">
        <is>
          <t>B605DA11</t>
        </is>
      </c>
      <c r="C18" t="inlineStr">
        <is>
          <t>1501010194</t>
        </is>
      </c>
      <c r="D18" t="inlineStr">
        <is>
          <t>Govee T1 Pro RGBICWW TV Light Kit With Camera,1080p Color sense Camera, LED TV backlights, and 2 LED RGB light bars, Individual Control of LED Groups,Voice And APP Control,Home Theatre,55-65 Inch TVs</t>
        </is>
      </c>
      <c r="E18" t="inlineStr">
        <is>
          <t>11.700</t>
        </is>
      </c>
      <c r="F18" t="inlineStr">
        <is>
          <t>7.150</t>
        </is>
      </c>
      <c r="G18" t="inlineStr">
        <is>
          <t>5.350</t>
        </is>
      </c>
      <c r="H18" t="inlineStr">
        <is>
          <t>2.780</t>
        </is>
      </c>
      <c r="I18" t="inlineStr">
        <is>
          <t>0.006475</t>
        </is>
      </c>
      <c r="J18" t="inlineStr">
        <is>
          <t>0.006475</t>
        </is>
      </c>
      <c r="K18" t="inlineStr">
        <is>
          <t>0.019425</t>
        </is>
      </c>
      <c r="L18" t="inlineStr">
        <is>
          <t>28.867</t>
        </is>
      </c>
      <c r="M18" t="inlineStr">
        <is>
          <t>0.000</t>
        </is>
      </c>
      <c r="N18" t="inlineStr">
        <is>
          <t>0.000</t>
        </is>
      </c>
      <c r="O18" t="inlineStr">
        <is>
          <t>30</t>
        </is>
      </c>
      <c r="P18" t="inlineStr">
        <is>
          <t>5.60738</t>
        </is>
      </c>
      <c r="Q18" t="inlineStr">
        <is>
          <t>5.60738</t>
        </is>
      </c>
      <c r="R18" t="inlineStr">
        <is>
          <t>0.00000</t>
        </is>
      </c>
    </row>
    <row r="19">
      <c r="A19">
        <f>"00810211390575"</f>
        <v/>
      </c>
      <c r="B19" t="inlineStr">
        <is>
          <t>H7046111</t>
        </is>
      </c>
      <c r="C19" t="inlineStr">
        <is>
          <t>19425161408</t>
        </is>
      </c>
      <c r="D19" t="inlineStr">
        <is>
          <t>Govee Outdoor Chromatic String Lights, 65.6ft RGB Outdoor Lights with 55 Uni-ic Control LED Bulbs, 111+ Scene Modes of String lights, IP67 Waterproof compatible with Alexa, Google, Matter, App Contro</t>
        </is>
      </c>
      <c r="E19" t="inlineStr">
        <is>
          <t>15.200</t>
        </is>
      </c>
      <c r="F19" t="inlineStr">
        <is>
          <t>18.750</t>
        </is>
      </c>
      <c r="G19" t="inlineStr">
        <is>
          <t>8.450</t>
        </is>
      </c>
      <c r="H19" t="inlineStr">
        <is>
          <t>12.230</t>
        </is>
      </c>
      <c r="I19" t="inlineStr">
        <is>
          <t>0.034842</t>
        </is>
      </c>
      <c r="J19" t="inlineStr">
        <is>
          <t>0.034842</t>
        </is>
      </c>
      <c r="K19" t="inlineStr">
        <is>
          <t>0.104525</t>
        </is>
      </c>
      <c r="L19" t="inlineStr">
        <is>
          <t>41.167</t>
        </is>
      </c>
      <c r="M19" t="inlineStr">
        <is>
          <t>0.000</t>
        </is>
      </c>
      <c r="N19" t="inlineStr">
        <is>
          <t>0.000</t>
        </is>
      </c>
      <c r="O19" t="inlineStr">
        <is>
          <t>30</t>
        </is>
      </c>
      <c r="P19" t="inlineStr">
        <is>
          <t>24.85947</t>
        </is>
      </c>
      <c r="Q19" t="inlineStr">
        <is>
          <t>43.02935</t>
        </is>
      </c>
      <c r="R19" t="inlineStr">
        <is>
          <t>18.16988</t>
        </is>
      </c>
    </row>
    <row r="20">
      <c r="A20">
        <f>"00850076077716"</f>
        <v/>
      </c>
      <c r="B20" t="inlineStr">
        <is>
          <t>H702B111</t>
        </is>
      </c>
      <c r="C20" t="inlineStr">
        <is>
          <t>17852921839</t>
        </is>
      </c>
      <c r="D20" t="inlineStr">
        <is>
          <t>Govee 96ft Smart Outdoor S14 Bulb String Lights 2</t>
        </is>
      </c>
      <c r="E20" t="inlineStr">
        <is>
          <t>14.450</t>
        </is>
      </c>
      <c r="F20" t="inlineStr">
        <is>
          <t>18.050</t>
        </is>
      </c>
      <c r="G20" t="inlineStr">
        <is>
          <t>6.150</t>
        </is>
      </c>
      <c r="H20" t="inlineStr">
        <is>
          <t>5.160</t>
        </is>
      </c>
      <c r="I20" t="inlineStr">
        <is>
          <t>0.023207</t>
        </is>
      </c>
      <c r="J20" t="inlineStr">
        <is>
          <t>0.023207</t>
        </is>
      </c>
      <c r="K20" t="inlineStr">
        <is>
          <t>0.069621</t>
        </is>
      </c>
      <c r="L20" t="inlineStr">
        <is>
          <t>95.333</t>
        </is>
      </c>
      <c r="M20" t="inlineStr">
        <is>
          <t>0.000</t>
        </is>
      </c>
      <c r="N20" t="inlineStr">
        <is>
          <t>0.000</t>
        </is>
      </c>
      <c r="O20" t="inlineStr">
        <is>
          <t>30</t>
        </is>
      </c>
      <c r="P20" t="inlineStr">
        <is>
          <t>38.03605</t>
        </is>
      </c>
      <c r="Q20" t="inlineStr">
        <is>
          <t>66.37163</t>
        </is>
      </c>
      <c r="R20" t="inlineStr">
        <is>
          <t>28.33558</t>
        </is>
      </c>
    </row>
    <row r="21">
      <c r="A21">
        <f>"00810211390353"</f>
        <v/>
      </c>
      <c r="B21" t="inlineStr">
        <is>
          <t>H16B0111</t>
        </is>
      </c>
      <c r="C21" t="inlineStr">
        <is>
          <t>19964763585</t>
        </is>
      </c>
      <c r="D21" t="inlineStr">
        <is>
          <t>Govee Floor Lamp 3 with Luminblend+ Technology, 2100lm Standing Lamp, Work with Matter,1000K-10000K Modern Floor Lamps for Living Room, Bedroom, Office, Corner Lamp with Dynamic Scenes, DaySync</t>
        </is>
      </c>
      <c r="E21" t="inlineStr">
        <is>
          <t>19.750</t>
        </is>
      </c>
      <c r="F21" t="inlineStr">
        <is>
          <t>11.500</t>
        </is>
      </c>
      <c r="G21" t="inlineStr">
        <is>
          <t>7.050</t>
        </is>
      </c>
      <c r="H21" t="inlineStr">
        <is>
          <t>7.710</t>
        </is>
      </c>
      <c r="I21" t="inlineStr">
        <is>
          <t>0.023166</t>
        </is>
      </c>
      <c r="J21" t="inlineStr">
        <is>
          <t>0.023166</t>
        </is>
      </c>
      <c r="K21" t="inlineStr">
        <is>
          <t>0.069498</t>
        </is>
      </c>
      <c r="L21" t="inlineStr">
        <is>
          <t>10.833</t>
        </is>
      </c>
      <c r="M21" t="inlineStr">
        <is>
          <t>0.000</t>
        </is>
      </c>
      <c r="N21" t="inlineStr">
        <is>
          <t>0.000</t>
        </is>
      </c>
      <c r="O21" t="inlineStr">
        <is>
          <t>30</t>
        </is>
      </c>
      <c r="P21" t="inlineStr">
        <is>
          <t>5.24709</t>
        </is>
      </c>
      <c r="Q21" t="inlineStr">
        <is>
          <t>7.52894</t>
        </is>
      </c>
      <c r="R21" t="inlineStr">
        <is>
          <t>2.28185</t>
        </is>
      </c>
    </row>
    <row r="22">
      <c r="A22">
        <f>"00810211390971"</f>
        <v/>
      </c>
      <c r="B22" t="inlineStr">
        <is>
          <t>H2A40111</t>
        </is>
      </c>
      <c r="C22" t="inlineStr">
        <is>
          <t>19978424651</t>
        </is>
      </c>
      <c r="D22" t="inlineStr">
        <is>
          <t>Govee TV Backlight 3 Lite for 55-65 inch TVs</t>
        </is>
      </c>
      <c r="E22" t="inlineStr">
        <is>
          <t>13.100</t>
        </is>
      </c>
      <c r="F22" t="inlineStr">
        <is>
          <t>10.750</t>
        </is>
      </c>
      <c r="G22" t="inlineStr">
        <is>
          <t>4.250</t>
        </is>
      </c>
      <c r="H22" t="inlineStr">
        <is>
          <t>2.380</t>
        </is>
      </c>
      <c r="I22" t="inlineStr">
        <is>
          <t>0.008659</t>
        </is>
      </c>
      <c r="J22" t="inlineStr">
        <is>
          <t>0.008659</t>
        </is>
      </c>
      <c r="K22" t="inlineStr">
        <is>
          <t>0.025977</t>
        </is>
      </c>
      <c r="L22" t="inlineStr">
        <is>
          <t>46.033</t>
        </is>
      </c>
      <c r="M22" t="inlineStr">
        <is>
          <t>0.000</t>
        </is>
      </c>
      <c r="N22" t="inlineStr">
        <is>
          <t>0.000</t>
        </is>
      </c>
      <c r="O22" t="inlineStr">
        <is>
          <t>30</t>
        </is>
      </c>
      <c r="P22" t="inlineStr">
        <is>
          <t>6.81026</t>
        </is>
      </c>
      <c r="Q22" t="inlineStr">
        <is>
          <t>11.95800</t>
        </is>
      </c>
      <c r="R22" t="inlineStr">
        <is>
          <t>5.14774</t>
        </is>
      </c>
    </row>
    <row r="23">
      <c r="A23">
        <f>"00850034049588"</f>
        <v/>
      </c>
      <c r="B23" t="inlineStr">
        <is>
          <t>B6061A02</t>
        </is>
      </c>
      <c r="C23" t="inlineStr">
        <is>
          <t>1273480638</t>
        </is>
      </c>
      <c r="D23" t="inlineStr">
        <is>
          <t>Govee Glide Hexa White Transparent Shell Dimmable LED Wall Lights For Gaming, Support Alexa, Google Assistant And Govee Home App,Bedroom Decor,7 Count</t>
        </is>
      </c>
      <c r="E23" t="inlineStr">
        <is>
          <t>9.400</t>
        </is>
      </c>
      <c r="F23" t="inlineStr">
        <is>
          <t>8.550</t>
        </is>
      </c>
      <c r="G23" t="inlineStr">
        <is>
          <t>5.850</t>
        </is>
      </c>
      <c r="H23" t="inlineStr">
        <is>
          <t>4.180</t>
        </is>
      </c>
      <c r="I23" t="inlineStr">
        <is>
          <t>0.006802</t>
        </is>
      </c>
      <c r="J23" t="inlineStr">
        <is>
          <t>0.006802</t>
        </is>
      </c>
      <c r="K23" t="inlineStr">
        <is>
          <t>0.020406</t>
        </is>
      </c>
      <c r="L23" t="inlineStr">
        <is>
          <t>4.433</t>
        </is>
      </c>
      <c r="M23" t="inlineStr">
        <is>
          <t>0.000</t>
        </is>
      </c>
      <c r="N23" t="inlineStr">
        <is>
          <t>0.000</t>
        </is>
      </c>
      <c r="O23" t="inlineStr">
        <is>
          <t>30</t>
        </is>
      </c>
      <c r="P23" t="inlineStr">
        <is>
          <t>0.90469</t>
        </is>
      </c>
      <c r="Q23" t="inlineStr">
        <is>
          <t>0.90469</t>
        </is>
      </c>
      <c r="R23" t="inlineStr">
        <is>
          <t>0.00000</t>
        </is>
      </c>
    </row>
    <row r="24">
      <c r="A24">
        <f>"00850034049427"</f>
        <v/>
      </c>
      <c r="B24" t="inlineStr">
        <is>
          <t>H612CAD1</t>
        </is>
      </c>
      <c r="C24" t="inlineStr">
        <is>
          <t>13552603868</t>
        </is>
      </c>
      <c r="D24" t="inlineStr">
        <is>
          <t>Govee RGBIC Wi-Fi + Bluetooth LED Strip Lights With Protective Coating with Matter (5M)</t>
        </is>
      </c>
      <c r="E24" t="inlineStr">
        <is>
          <t>8.400</t>
        </is>
      </c>
      <c r="F24" t="inlineStr">
        <is>
          <t>8.950</t>
        </is>
      </c>
      <c r="G24" t="inlineStr">
        <is>
          <t>2.850</t>
        </is>
      </c>
      <c r="H24" t="inlineStr">
        <is>
          <t>1.680</t>
        </is>
      </c>
      <c r="I24" t="inlineStr">
        <is>
          <t>0.003100</t>
        </is>
      </c>
      <c r="J24" t="inlineStr">
        <is>
          <t>0.003100</t>
        </is>
      </c>
      <c r="K24" t="inlineStr">
        <is>
          <t>0.009300</t>
        </is>
      </c>
      <c r="L24" t="inlineStr">
        <is>
          <t>30.533</t>
        </is>
      </c>
      <c r="M24" t="inlineStr">
        <is>
          <t>0.000</t>
        </is>
      </c>
      <c r="N24" t="inlineStr">
        <is>
          <t>0.000</t>
        </is>
      </c>
      <c r="O24" t="inlineStr">
        <is>
          <t>30</t>
        </is>
      </c>
      <c r="P24" t="inlineStr">
        <is>
          <t>2.83948</t>
        </is>
      </c>
      <c r="Q24" t="inlineStr">
        <is>
          <t>2.83948</t>
        </is>
      </c>
      <c r="R24" t="inlineStr">
        <is>
          <t>0.00000</t>
        </is>
      </c>
    </row>
    <row r="25">
      <c r="A25">
        <f>"00810211390636"</f>
        <v/>
      </c>
      <c r="B25" t="inlineStr">
        <is>
          <t>H3511111</t>
        </is>
      </c>
      <c r="C25" t="inlineStr">
        <is>
          <t>19555222363</t>
        </is>
      </c>
      <c r="D25" t="inlineStr">
        <is>
          <t>Govee Outdoor Cylinder Pathway Lights 8pk</t>
        </is>
      </c>
      <c r="E25" t="inlineStr">
        <is>
          <t>20.950</t>
        </is>
      </c>
      <c r="F25" t="inlineStr">
        <is>
          <t>20.500</t>
        </is>
      </c>
      <c r="G25" t="inlineStr">
        <is>
          <t>8.550</t>
        </is>
      </c>
      <c r="H25" t="inlineStr">
        <is>
          <t>10.040</t>
        </is>
      </c>
      <c r="I25" t="inlineStr">
        <is>
          <t>0.053125</t>
        </is>
      </c>
      <c r="J25" t="inlineStr">
        <is>
          <t>0.053125</t>
        </is>
      </c>
      <c r="K25" t="inlineStr">
        <is>
          <t>0.159375</t>
        </is>
      </c>
      <c r="L25" t="inlineStr">
        <is>
          <t>33.267</t>
        </is>
      </c>
      <c r="M25" t="inlineStr">
        <is>
          <t>0.000</t>
        </is>
      </c>
      <c r="N25" t="inlineStr">
        <is>
          <t>0.000</t>
        </is>
      </c>
      <c r="O25" t="inlineStr">
        <is>
          <t>30</t>
        </is>
      </c>
      <c r="P25" t="inlineStr">
        <is>
          <t>30.33447</t>
        </is>
      </c>
      <c r="Q25" t="inlineStr">
        <is>
          <t>53.01891</t>
        </is>
      </c>
      <c r="R25" t="inlineStr">
        <is>
          <t>22.68444</t>
        </is>
      </c>
    </row>
    <row r="26">
      <c r="A26">
        <f>"00850076077211"</f>
        <v/>
      </c>
      <c r="B26" t="inlineStr">
        <is>
          <t>H70371B1</t>
        </is>
      </c>
      <c r="C26" t="inlineStr">
        <is>
          <t>17633313530</t>
        </is>
      </c>
      <c r="D26" t="inlineStr">
        <is>
          <t>Govee Smart Outdoor String Lights, 48ft, Corded  Electric</t>
        </is>
      </c>
      <c r="E26" t="inlineStr">
        <is>
          <t>13.200</t>
        </is>
      </c>
      <c r="F26" t="inlineStr">
        <is>
          <t>9.700</t>
        </is>
      </c>
      <c r="G26" t="inlineStr">
        <is>
          <t>6.400</t>
        </is>
      </c>
      <c r="H26" t="inlineStr">
        <is>
          <t>2.800</t>
        </is>
      </c>
      <c r="I26" t="inlineStr">
        <is>
          <t>0.011856</t>
        </is>
      </c>
      <c r="J26" t="inlineStr">
        <is>
          <t>0.011856</t>
        </is>
      </c>
      <c r="K26" t="inlineStr">
        <is>
          <t>0.035567</t>
        </is>
      </c>
      <c r="L26" t="inlineStr">
        <is>
          <t>101.833</t>
        </is>
      </c>
      <c r="M26" t="inlineStr">
        <is>
          <t>0.000</t>
        </is>
      </c>
      <c r="N26" t="inlineStr">
        <is>
          <t>0.000</t>
        </is>
      </c>
      <c r="O26" t="inlineStr">
        <is>
          <t>30</t>
        </is>
      </c>
      <c r="P26" t="inlineStr">
        <is>
          <t>36.21872</t>
        </is>
      </c>
      <c r="Q26" t="inlineStr">
        <is>
          <t>36.21872</t>
        </is>
      </c>
      <c r="R26" t="inlineStr">
        <is>
          <t>0.00000</t>
        </is>
      </c>
    </row>
    <row r="27">
      <c r="A27">
        <f>"00810211390810"</f>
        <v/>
      </c>
      <c r="B27" t="inlineStr">
        <is>
          <t>H7026111</t>
        </is>
      </c>
      <c r="C27" t="inlineStr">
        <is>
          <t>19931950393</t>
        </is>
      </c>
      <c r="D27" t="inlineStr">
        <is>
          <t>Govee Clear Bulb Outdoor String Lights, 96ft RGBWIC Dimmable Patio &amp; Backyard Lights with 30 LED Bulbs</t>
        </is>
      </c>
      <c r="E27" t="inlineStr">
        <is>
          <t>15.850</t>
        </is>
      </c>
      <c r="F27" t="inlineStr">
        <is>
          <t>13.800</t>
        </is>
      </c>
      <c r="G27" t="inlineStr">
        <is>
          <t>8.300</t>
        </is>
      </c>
      <c r="H27" t="inlineStr">
        <is>
          <t>6.120</t>
        </is>
      </c>
      <c r="I27" t="inlineStr">
        <is>
          <t>0.026265</t>
        </is>
      </c>
      <c r="J27" t="inlineStr">
        <is>
          <t>0.026265</t>
        </is>
      </c>
      <c r="K27" t="inlineStr">
        <is>
          <t>0.078796</t>
        </is>
      </c>
      <c r="L27" t="inlineStr">
        <is>
          <t>110.133</t>
        </is>
      </c>
      <c r="M27" t="inlineStr">
        <is>
          <t>0.000</t>
        </is>
      </c>
      <c r="N27" t="inlineStr">
        <is>
          <t>0.000</t>
        </is>
      </c>
      <c r="O27" t="inlineStr">
        <is>
          <t>30</t>
        </is>
      </c>
      <c r="P27" t="inlineStr">
        <is>
          <t>49.53640</t>
        </is>
      </c>
      <c r="Q27" t="inlineStr">
        <is>
          <t>86.78062</t>
        </is>
      </c>
      <c r="R27" t="inlineStr">
        <is>
          <t>37.24423</t>
        </is>
      </c>
    </row>
    <row r="28">
      <c r="A28">
        <f>"00850076077853"</f>
        <v/>
      </c>
      <c r="B28" t="inlineStr">
        <is>
          <t>H80A1A11</t>
        </is>
      </c>
      <c r="C28" t="inlineStr">
        <is>
          <t>19640861482</t>
        </is>
      </c>
      <c r="D28" t="inlineStr">
        <is>
          <t>Govee Smart 12in RGBWW+RGBIC Ceiling Light Black</t>
        </is>
      </c>
      <c r="E28" t="inlineStr">
        <is>
          <t>12.700</t>
        </is>
      </c>
      <c r="F28" t="inlineStr">
        <is>
          <t>12.150</t>
        </is>
      </c>
      <c r="G28" t="inlineStr">
        <is>
          <t>2.450</t>
        </is>
      </c>
      <c r="H28" t="inlineStr">
        <is>
          <t>2.930</t>
        </is>
      </c>
      <c r="I28" t="inlineStr">
        <is>
          <t>0.005469</t>
        </is>
      </c>
      <c r="J28" t="inlineStr">
        <is>
          <t>0.005469</t>
        </is>
      </c>
      <c r="K28" t="inlineStr">
        <is>
          <t>0.016408</t>
        </is>
      </c>
      <c r="L28" t="inlineStr">
        <is>
          <t>228.267</t>
        </is>
      </c>
      <c r="M28" t="inlineStr">
        <is>
          <t>0.000</t>
        </is>
      </c>
      <c r="N28" t="inlineStr">
        <is>
          <t>0.000</t>
        </is>
      </c>
      <c r="O28" t="inlineStr">
        <is>
          <t>30</t>
        </is>
      </c>
      <c r="P28" t="inlineStr">
        <is>
          <t>37.45468</t>
        </is>
      </c>
      <c r="Q28" t="inlineStr">
        <is>
          <t>37.45468</t>
        </is>
      </c>
      <c r="R28" t="inlineStr">
        <is>
          <t>0.00000</t>
        </is>
      </c>
    </row>
    <row r="29">
      <c r="A29">
        <f>"00850076077372"</f>
        <v/>
      </c>
      <c r="B29" t="inlineStr">
        <is>
          <t>H60971D1</t>
        </is>
      </c>
      <c r="C29" t="inlineStr">
        <is>
          <t>17710854588</t>
        </is>
      </c>
      <c r="D29" t="inlineStr">
        <is>
          <t>Govee TV Backlight 3 Lite for 40-50 inch TVs,Extra Warm White Light Providing Better Theater Experience, Smart Control Indoor TV Light</t>
        </is>
      </c>
      <c r="E29" t="inlineStr">
        <is>
          <t>9.400</t>
        </is>
      </c>
      <c r="F29" t="inlineStr">
        <is>
          <t>8.500</t>
        </is>
      </c>
      <c r="G29" t="inlineStr">
        <is>
          <t>3.400</t>
        </is>
      </c>
      <c r="H29" t="inlineStr">
        <is>
          <t>1.590</t>
        </is>
      </c>
      <c r="I29" t="inlineStr">
        <is>
          <t>0.003930</t>
        </is>
      </c>
      <c r="J29" t="inlineStr">
        <is>
          <t>0.003930</t>
        </is>
      </c>
      <c r="K29" t="inlineStr">
        <is>
          <t>0.011791</t>
        </is>
      </c>
      <c r="L29" t="inlineStr">
        <is>
          <t>372.433</t>
        </is>
      </c>
      <c r="M29" t="inlineStr">
        <is>
          <t>0.000</t>
        </is>
      </c>
      <c r="N29" t="inlineStr">
        <is>
          <t>0.000</t>
        </is>
      </c>
      <c r="O29" t="inlineStr">
        <is>
          <t>30</t>
        </is>
      </c>
      <c r="P29" t="inlineStr">
        <is>
          <t>24.20349</t>
        </is>
      </c>
      <c r="Q29" t="inlineStr">
        <is>
          <t>43.15615</t>
        </is>
      </c>
      <c r="R29" t="inlineStr">
        <is>
          <t>18.95266</t>
        </is>
      </c>
    </row>
    <row r="30">
      <c r="A30">
        <f>"00850061998651"</f>
        <v/>
      </c>
      <c r="B30" t="inlineStr">
        <is>
          <t>H60A6A01</t>
        </is>
      </c>
      <c r="C30" t="inlineStr">
        <is>
          <t>16489104810</t>
        </is>
      </c>
      <c r="D30" t="inlineStr">
        <is>
          <t>Govee Smart 15inch RGBICWW Ceiling Light Pro, 4300lm Warm White Cool Light  Dimable For Kitchen, Colorful Lighting Effect For Bedroom, Living Room,Light Change With Music For Party</t>
        </is>
      </c>
      <c r="E30" t="inlineStr">
        <is>
          <t>15.450</t>
        </is>
      </c>
      <c r="F30" t="inlineStr">
        <is>
          <t>15.800</t>
        </is>
      </c>
      <c r="G30" t="inlineStr">
        <is>
          <t>3.350</t>
        </is>
      </c>
      <c r="H30" t="inlineStr">
        <is>
          <t>4.830</t>
        </is>
      </c>
      <c r="I30" t="inlineStr">
        <is>
          <t>0.011831</t>
        </is>
      </c>
      <c r="J30" t="inlineStr">
        <is>
          <t>0.011831</t>
        </is>
      </c>
      <c r="K30" t="inlineStr">
        <is>
          <t>0.035493</t>
        </is>
      </c>
      <c r="L30" t="inlineStr">
        <is>
          <t>23.500</t>
        </is>
      </c>
      <c r="M30" t="inlineStr">
        <is>
          <t>0.000</t>
        </is>
      </c>
      <c r="N30" t="inlineStr">
        <is>
          <t>0.000</t>
        </is>
      </c>
      <c r="O30" t="inlineStr">
        <is>
          <t>30</t>
        </is>
      </c>
      <c r="P30" t="inlineStr">
        <is>
          <t>8.34095</t>
        </is>
      </c>
      <c r="Q30" t="inlineStr">
        <is>
          <t>8.34095</t>
        </is>
      </c>
      <c r="R30" t="inlineStr">
        <is>
          <t>0.00000</t>
        </is>
      </c>
    </row>
    <row r="31">
      <c r="A31">
        <f>"00810211391039"</f>
        <v/>
      </c>
      <c r="B31" t="inlineStr">
        <is>
          <t>H2A41111</t>
        </is>
      </c>
      <c r="C31" t="inlineStr">
        <is>
          <t>20037320916</t>
        </is>
      </c>
      <c r="D31" t="inlineStr">
        <is>
          <t>Govee TV Backlight 3 Lite for 75-85 inch TVs</t>
        </is>
      </c>
      <c r="E31" t="inlineStr">
        <is>
          <t>12.300</t>
        </is>
      </c>
      <c r="F31" t="inlineStr">
        <is>
          <t>10.200</t>
        </is>
      </c>
      <c r="G31" t="inlineStr">
        <is>
          <t>4.150</t>
        </is>
      </c>
      <c r="H31" t="inlineStr">
        <is>
          <t>2.620</t>
        </is>
      </c>
      <c r="I31" t="inlineStr">
        <is>
          <t>0.007533</t>
        </is>
      </c>
      <c r="J31" t="inlineStr">
        <is>
          <t>0.007533</t>
        </is>
      </c>
      <c r="K31" t="inlineStr">
        <is>
          <t>0.022598</t>
        </is>
      </c>
      <c r="L31" t="inlineStr">
        <is>
          <t>30.033</t>
        </is>
      </c>
      <c r="M31" t="inlineStr">
        <is>
          <t>0.000</t>
        </is>
      </c>
      <c r="N31" t="inlineStr">
        <is>
          <t>0.000</t>
        </is>
      </c>
      <c r="O31" t="inlineStr">
        <is>
          <t>30</t>
        </is>
      </c>
      <c r="P31" t="inlineStr">
        <is>
          <t>3.87557</t>
        </is>
      </c>
      <c r="Q31" t="inlineStr">
        <is>
          <t>6.78695</t>
        </is>
      </c>
      <c r="R31" t="inlineStr">
        <is>
          <t>2.91138</t>
        </is>
      </c>
    </row>
    <row r="32">
      <c r="A32">
        <f>"00850034049380"</f>
        <v/>
      </c>
      <c r="B32" t="inlineStr">
        <is>
          <t>H706C101</t>
        </is>
      </c>
      <c r="C32" t="inlineStr">
        <is>
          <t>5303921953</t>
        </is>
      </c>
      <c r="D32" t="inlineStr">
        <is>
          <t>Govee 200ft Permanent Outdoor Lights Pro(White Version)</t>
        </is>
      </c>
      <c r="E32" t="inlineStr">
        <is>
          <t>17.500</t>
        </is>
      </c>
      <c r="F32" t="inlineStr">
        <is>
          <t>14.600</t>
        </is>
      </c>
      <c r="G32" t="inlineStr">
        <is>
          <t>8.300</t>
        </is>
      </c>
      <c r="H32" t="inlineStr">
        <is>
          <t>5.860</t>
        </is>
      </c>
      <c r="I32" t="inlineStr">
        <is>
          <t>0.030681</t>
        </is>
      </c>
      <c r="J32" t="inlineStr">
        <is>
          <t>0.030681</t>
        </is>
      </c>
      <c r="K32" t="inlineStr">
        <is>
          <t>0.092042</t>
        </is>
      </c>
      <c r="L32" t="inlineStr">
        <is>
          <t>545.200</t>
        </is>
      </c>
      <c r="M32" t="inlineStr">
        <is>
          <t>0.000</t>
        </is>
      </c>
      <c r="N32" t="inlineStr">
        <is>
          <t>0.000</t>
        </is>
      </c>
      <c r="O32" t="inlineStr">
        <is>
          <t>30</t>
        </is>
      </c>
      <c r="P32" t="inlineStr">
        <is>
          <t>285.82140</t>
        </is>
      </c>
      <c r="Q32" t="inlineStr">
        <is>
          <t>501.81353</t>
        </is>
      </c>
      <c r="R32" t="inlineStr">
        <is>
          <t>215.99213</t>
        </is>
      </c>
    </row>
    <row r="33">
      <c r="A33">
        <f>"00850076077792"</f>
        <v/>
      </c>
      <c r="B33" t="inlineStr">
        <is>
          <t>B14C01C4-1</t>
        </is>
      </c>
      <c r="C33" t="inlineStr">
        <is>
          <t>19884957854</t>
        </is>
      </c>
      <c r="D33" t="inlineStr">
        <is>
          <t>Govee 500LM RGBWW Smart ST19 LED Bulb 4 Pack, 64+ Scene Modes, Classic Design Bulb, High-Density COB Light Strips, Smart Control</t>
        </is>
      </c>
      <c r="E33" t="inlineStr">
        <is>
          <t>11.100</t>
        </is>
      </c>
      <c r="F33" t="inlineStr">
        <is>
          <t>13.750</t>
        </is>
      </c>
      <c r="G33" t="inlineStr">
        <is>
          <t>6.700</t>
        </is>
      </c>
      <c r="H33" t="inlineStr">
        <is>
          <t>1.150</t>
        </is>
      </c>
      <c r="I33" t="inlineStr">
        <is>
          <t>0.014794</t>
        </is>
      </c>
      <c r="J33" t="inlineStr">
        <is>
          <t>0.014794</t>
        </is>
      </c>
      <c r="K33" t="inlineStr">
        <is>
          <t>0.044383</t>
        </is>
      </c>
      <c r="L33" t="inlineStr">
        <is>
          <t>213.533</t>
        </is>
      </c>
      <c r="M33" t="inlineStr">
        <is>
          <t>0.000</t>
        </is>
      </c>
      <c r="N33" t="inlineStr">
        <is>
          <t>0.000</t>
        </is>
      </c>
      <c r="O33" t="inlineStr">
        <is>
          <t>30</t>
        </is>
      </c>
      <c r="P33" t="inlineStr">
        <is>
          <t>53.56305</t>
        </is>
      </c>
      <c r="Q33" t="inlineStr">
        <is>
          <t>94.77279</t>
        </is>
      </c>
      <c r="R33" t="inlineStr">
        <is>
          <t>41.20974</t>
        </is>
      </c>
    </row>
    <row r="34">
      <c r="A34">
        <f>"00810211390629"</f>
        <v/>
      </c>
      <c r="B34" t="inlineStr">
        <is>
          <t>H3510111</t>
        </is>
      </c>
      <c r="C34" t="inlineStr">
        <is>
          <t>19604904495</t>
        </is>
      </c>
      <c r="D34" t="inlineStr">
        <is>
          <t>Govee Outdoor Cylinder Pathway Lights 4pk</t>
        </is>
      </c>
      <c r="E34" t="inlineStr">
        <is>
          <t>18.150</t>
        </is>
      </c>
      <c r="F34" t="inlineStr">
        <is>
          <t>16.600</t>
        </is>
      </c>
      <c r="G34" t="inlineStr">
        <is>
          <t>4.250</t>
        </is>
      </c>
      <c r="H34" t="inlineStr">
        <is>
          <t>5.760</t>
        </is>
      </c>
      <c r="I34" t="inlineStr">
        <is>
          <t>0.018525</t>
        </is>
      </c>
      <c r="J34" t="inlineStr">
        <is>
          <t>0.018525</t>
        </is>
      </c>
      <c r="K34" t="inlineStr">
        <is>
          <t>0.055576</t>
        </is>
      </c>
      <c r="L34" t="inlineStr">
        <is>
          <t>27.800</t>
        </is>
      </c>
      <c r="M34" t="inlineStr">
        <is>
          <t>0.000</t>
        </is>
      </c>
      <c r="N34" t="inlineStr">
        <is>
          <t>0.000</t>
        </is>
      </c>
      <c r="O34" t="inlineStr">
        <is>
          <t>30</t>
        </is>
      </c>
      <c r="P34" t="inlineStr">
        <is>
          <t>8.61436</t>
        </is>
      </c>
      <c r="Q34" t="inlineStr">
        <is>
          <t>15.45027</t>
        </is>
      </c>
      <c r="R34" t="inlineStr">
        <is>
          <t>6.83591</t>
        </is>
      </c>
    </row>
    <row r="35">
      <c r="A35">
        <f>"00810211390490"</f>
        <v/>
      </c>
      <c r="B35" t="inlineStr">
        <is>
          <t>H7046111-1</t>
        </is>
      </c>
      <c r="C35" t="inlineStr">
        <is>
          <t>19687315941</t>
        </is>
      </c>
      <c r="D35" t="inlineStr">
        <is>
          <t>Govee Outdoor Chromatic String Lights, 65.6ft RGB Outdoor Lights with 55 Uni-ic Control LED Bulbs, 111+ Scene Modes of String lights, IP67 Waterproof compatible with Alexa, Google, Matter, App Contro</t>
        </is>
      </c>
      <c r="E35" t="inlineStr">
        <is>
          <t>10.300</t>
        </is>
      </c>
      <c r="F35" t="inlineStr">
        <is>
          <t>13.950</t>
        </is>
      </c>
      <c r="G35" t="inlineStr">
        <is>
          <t>6.850</t>
        </is>
      </c>
      <c r="H35" t="inlineStr">
        <is>
          <t>1.150</t>
        </is>
      </c>
      <c r="I35" t="inlineStr">
        <is>
          <t>0.014240</t>
        </is>
      </c>
      <c r="J35" t="inlineStr">
        <is>
          <t>0.014240</t>
        </is>
      </c>
      <c r="K35" t="inlineStr">
        <is>
          <t>0.042719</t>
        </is>
      </c>
      <c r="L35" t="inlineStr">
        <is>
          <t>35.767</t>
        </is>
      </c>
      <c r="M35" t="inlineStr">
        <is>
          <t>0.000</t>
        </is>
      </c>
      <c r="N35" t="inlineStr">
        <is>
          <t>0.000</t>
        </is>
      </c>
      <c r="O35" t="inlineStr">
        <is>
          <t>30</t>
        </is>
      </c>
      <c r="P35" t="inlineStr">
        <is>
          <t>15.27911</t>
        </is>
      </c>
      <c r="Q35" t="inlineStr">
        <is>
          <t>15.27911</t>
        </is>
      </c>
      <c r="R35" t="inlineStr">
        <is>
          <t>0.00000</t>
        </is>
      </c>
    </row>
    <row r="36">
      <c r="A36">
        <f>"00850061998934"</f>
        <v/>
      </c>
      <c r="B36" t="inlineStr">
        <is>
          <t>A806A012</t>
        </is>
      </c>
      <c r="C36" t="inlineStr">
        <is>
          <t>20023272575</t>
        </is>
      </c>
      <c r="D36" t="inlineStr">
        <is>
          <t>Govee Black Permanent Outdoor Lights Pro Driver Module</t>
        </is>
      </c>
      <c r="E36" t="inlineStr">
        <is>
          <t>5.940</t>
        </is>
      </c>
      <c r="F36" t="inlineStr">
        <is>
          <t>2.640</t>
        </is>
      </c>
      <c r="G36" t="inlineStr">
        <is>
          <t>2.360</t>
        </is>
      </c>
      <c r="H36" t="inlineStr">
        <is>
          <t>0.800</t>
        </is>
      </c>
      <c r="I36" t="inlineStr">
        <is>
          <t>0.000535</t>
        </is>
      </c>
      <c r="J36" t="inlineStr">
        <is>
          <t>0.000535</t>
        </is>
      </c>
      <c r="K36" t="inlineStr">
        <is>
          <t>0.001606</t>
        </is>
      </c>
      <c r="L36" t="inlineStr">
        <is>
          <t>88.367</t>
        </is>
      </c>
      <c r="M36" t="inlineStr">
        <is>
          <t>0.000</t>
        </is>
      </c>
      <c r="N36" t="inlineStr">
        <is>
          <t>0.000</t>
        </is>
      </c>
      <c r="O36" t="inlineStr">
        <is>
          <t>30</t>
        </is>
      </c>
      <c r="P36" t="inlineStr">
        <is>
          <t>1.41941</t>
        </is>
      </c>
      <c r="Q36" t="inlineStr">
        <is>
          <t>1.41941</t>
        </is>
      </c>
      <c r="R36" t="inlineStr">
        <is>
          <t>0.00000</t>
        </is>
      </c>
    </row>
    <row r="37">
      <c r="A37">
        <f>"00850061998033"</f>
        <v/>
      </c>
      <c r="B37" t="inlineStr">
        <is>
          <t>H8072A82</t>
        </is>
      </c>
      <c r="C37" t="inlineStr">
        <is>
          <t>13424160586</t>
        </is>
      </c>
      <c r="D37" t="inlineStr">
        <is>
          <t>Govee RGBICWW Floor Lamp Modern - Dimmable LED, Music Sync, Remote, Smart Lamp for Bedroom</t>
        </is>
      </c>
      <c r="E37" t="inlineStr">
        <is>
          <t>18.250</t>
        </is>
      </c>
      <c r="F37" t="inlineStr">
        <is>
          <t>8.250</t>
        </is>
      </c>
      <c r="G37" t="inlineStr">
        <is>
          <t>6.200</t>
        </is>
      </c>
      <c r="H37" t="inlineStr">
        <is>
          <t>5.800</t>
        </is>
      </c>
      <c r="I37" t="inlineStr">
        <is>
          <t>0.013505</t>
        </is>
      </c>
      <c r="J37" t="inlineStr">
        <is>
          <t>0.013505</t>
        </is>
      </c>
      <c r="K37" t="inlineStr">
        <is>
          <t>0.040516</t>
        </is>
      </c>
      <c r="L37" t="inlineStr">
        <is>
          <t>71.467</t>
        </is>
      </c>
      <c r="M37" t="inlineStr">
        <is>
          <t>0.000</t>
        </is>
      </c>
      <c r="N37" t="inlineStr">
        <is>
          <t>0.000</t>
        </is>
      </c>
      <c r="O37" t="inlineStr">
        <is>
          <t>30</t>
        </is>
      </c>
      <c r="P37" t="inlineStr">
        <is>
          <t>16.50350</t>
        </is>
      </c>
      <c r="Q37" t="inlineStr">
        <is>
          <t>28.95540</t>
        </is>
      </c>
      <c r="R37" t="inlineStr">
        <is>
          <t>12.45190</t>
        </is>
      </c>
    </row>
    <row r="38">
      <c r="A38">
        <f>"00850061998712"</f>
        <v/>
      </c>
      <c r="B38" t="inlineStr">
        <is>
          <t>H7056A11</t>
        </is>
      </c>
      <c r="C38" t="inlineStr">
        <is>
          <t>17442860578</t>
        </is>
      </c>
      <c r="D38" t="inlineStr">
        <is>
          <t>Govee Low Voltage Wired Outdoor Pathway Lights 2, Landscape Lighting with 60+ Scene Modes, IP66 Waterproof for Yard Patio Garden Work with Alexa/Google/Matter</t>
        </is>
      </c>
      <c r="E38" t="inlineStr">
        <is>
          <t>17.450</t>
        </is>
      </c>
      <c r="F38" t="inlineStr">
        <is>
          <t>12.900</t>
        </is>
      </c>
      <c r="G38" t="inlineStr">
        <is>
          <t>6.550</t>
        </is>
      </c>
      <c r="H38" t="inlineStr">
        <is>
          <t>7.340</t>
        </is>
      </c>
      <c r="I38" t="inlineStr">
        <is>
          <t>0.021332</t>
        </is>
      </c>
      <c r="J38" t="inlineStr">
        <is>
          <t>0.021332</t>
        </is>
      </c>
      <c r="K38" t="inlineStr">
        <is>
          <t>0.063995</t>
        </is>
      </c>
      <c r="L38" t="inlineStr">
        <is>
          <t>91.833</t>
        </is>
      </c>
      <c r="M38" t="inlineStr">
        <is>
          <t>0.000</t>
        </is>
      </c>
      <c r="N38" t="inlineStr">
        <is>
          <t>0.000</t>
        </is>
      </c>
      <c r="O38" t="inlineStr">
        <is>
          <t>30</t>
        </is>
      </c>
      <c r="P38" t="inlineStr">
        <is>
          <t>58.76846</t>
        </is>
      </c>
      <c r="Q38" t="inlineStr">
        <is>
          <t>58.76846</t>
        </is>
      </c>
      <c r="R38" t="inlineStr">
        <is>
          <t>0.00000</t>
        </is>
      </c>
    </row>
    <row r="39">
      <c r="A39">
        <f>"00850034049663"</f>
        <v/>
      </c>
      <c r="B39" t="inlineStr">
        <is>
          <t>H604CA01</t>
        </is>
      </c>
      <c r="C39" t="inlineStr">
        <is>
          <t>1157184559</t>
        </is>
      </c>
      <c r="D39" t="inlineStr">
        <is>
          <t>Govee DreamView Indoor LED Gaming Lights with Light Bar and Camera, Corded Electric, Color Changing</t>
        </is>
      </c>
      <c r="E39" t="inlineStr">
        <is>
          <t>17.500</t>
        </is>
      </c>
      <c r="F39" t="inlineStr">
        <is>
          <t>9.500</t>
        </is>
      </c>
      <c r="G39" t="inlineStr">
        <is>
          <t>6.400</t>
        </is>
      </c>
      <c r="H39" t="inlineStr">
        <is>
          <t>4.100</t>
        </is>
      </c>
      <c r="I39" t="inlineStr">
        <is>
          <t>0.015394</t>
        </is>
      </c>
      <c r="J39" t="inlineStr">
        <is>
          <t>0.015394</t>
        </is>
      </c>
      <c r="K39" t="inlineStr">
        <is>
          <t>0.046181</t>
        </is>
      </c>
      <c r="L39" t="inlineStr">
        <is>
          <t>1.600</t>
        </is>
      </c>
      <c r="M39" t="inlineStr">
        <is>
          <t>0.000</t>
        </is>
      </c>
      <c r="N39" t="inlineStr">
        <is>
          <t>0.000</t>
        </is>
      </c>
      <c r="O39" t="inlineStr">
        <is>
          <t>30</t>
        </is>
      </c>
      <c r="P39" t="inlineStr">
        <is>
          <t>0.73889</t>
        </is>
      </c>
      <c r="Q39" t="inlineStr">
        <is>
          <t>0.73889</t>
        </is>
      </c>
      <c r="R39" t="inlineStr">
        <is>
          <t>0.00000</t>
        </is>
      </c>
    </row>
    <row r="40">
      <c r="A40">
        <f>"00850061998699"</f>
        <v/>
      </c>
      <c r="B40" t="inlineStr">
        <is>
          <t>B8015A02</t>
        </is>
      </c>
      <c r="C40" t="inlineStr">
        <is>
          <t>17392958598</t>
        </is>
      </c>
      <c r="D40" t="inlineStr">
        <is>
          <t>Govee 800LM White Light Smart Bulb,Support By Alexa,Google Assiatant,Govee Home App, 2 pack</t>
        </is>
      </c>
      <c r="E40" t="inlineStr">
        <is>
          <t>5.650</t>
        </is>
      </c>
      <c r="F40" t="inlineStr">
        <is>
          <t>5.050</t>
        </is>
      </c>
      <c r="G40" t="inlineStr">
        <is>
          <t>2.650</t>
        </is>
      </c>
      <c r="H40" t="inlineStr">
        <is>
          <t>0.390</t>
        </is>
      </c>
      <c r="I40" t="inlineStr">
        <is>
          <t>0.001094</t>
        </is>
      </c>
      <c r="J40" t="inlineStr">
        <is>
          <t>0.001094</t>
        </is>
      </c>
      <c r="K40" t="inlineStr">
        <is>
          <t>0.003282</t>
        </is>
      </c>
      <c r="L40" t="inlineStr">
        <is>
          <t>34.267</t>
        </is>
      </c>
      <c r="M40" t="inlineStr">
        <is>
          <t>0.000</t>
        </is>
      </c>
      <c r="N40" t="inlineStr">
        <is>
          <t>0.000</t>
        </is>
      </c>
      <c r="O40" t="inlineStr">
        <is>
          <t>30</t>
        </is>
      </c>
      <c r="P40" t="inlineStr">
        <is>
          <t>1.12454</t>
        </is>
      </c>
      <c r="Q40" t="inlineStr">
        <is>
          <t>1.12454</t>
        </is>
      </c>
      <c r="R40" t="inlineStr">
        <is>
          <t>0.00000</t>
        </is>
      </c>
    </row>
    <row r="41">
      <c r="A41">
        <f>"00850034049861"</f>
        <v/>
      </c>
      <c r="B41" t="inlineStr">
        <is>
          <t>B6004AC3</t>
        </is>
      </c>
      <c r="C41" t="inlineStr">
        <is>
          <t>5318849827</t>
        </is>
      </c>
      <c r="D41" t="inlineStr">
        <is>
          <t>Govee RGBWW Smart LED A19 Bulb, 800 Lumens, 4 Pack</t>
        </is>
      </c>
      <c r="E41" t="inlineStr">
        <is>
          <t>5.100</t>
        </is>
      </c>
      <c r="F41" t="inlineStr">
        <is>
          <t>5.050</t>
        </is>
      </c>
      <c r="G41" t="inlineStr">
        <is>
          <t>10.600</t>
        </is>
      </c>
      <c r="H41" t="inlineStr">
        <is>
          <t>0.890</t>
        </is>
      </c>
      <c r="I41" t="inlineStr">
        <is>
          <t>0.003950</t>
        </is>
      </c>
      <c r="J41" t="inlineStr">
        <is>
          <t>0.003950</t>
        </is>
      </c>
      <c r="K41" t="inlineStr">
        <is>
          <t>0.011849</t>
        </is>
      </c>
      <c r="L41" t="inlineStr">
        <is>
          <t>632.200</t>
        </is>
      </c>
      <c r="M41" t="inlineStr">
        <is>
          <t>0.000</t>
        </is>
      </c>
      <c r="N41" t="inlineStr">
        <is>
          <t>0.000</t>
        </is>
      </c>
      <c r="O41" t="inlineStr">
        <is>
          <t>30</t>
        </is>
      </c>
      <c r="P41" t="inlineStr">
        <is>
          <t>42.37037</t>
        </is>
      </c>
      <c r="Q41" t="inlineStr">
        <is>
          <t>74.90994</t>
        </is>
      </c>
      <c r="R41" t="inlineStr">
        <is>
          <t>32.53957</t>
        </is>
      </c>
    </row>
    <row r="42">
      <c r="A42">
        <f>"00850061998910"</f>
        <v/>
      </c>
      <c r="B42" t="inlineStr">
        <is>
          <t>A806A011</t>
        </is>
      </c>
      <c r="C42" t="inlineStr">
        <is>
          <t>20039871652</t>
        </is>
      </c>
      <c r="D42" t="inlineStr">
        <is>
          <t>Govee Black Permanent Outdoor Lights Pro ExpansionString</t>
        </is>
      </c>
      <c r="E42" t="inlineStr">
        <is>
          <t>6.890</t>
        </is>
      </c>
      <c r="F42" t="inlineStr">
        <is>
          <t>6.020</t>
        </is>
      </c>
      <c r="G42" t="inlineStr">
        <is>
          <t>2.600</t>
        </is>
      </c>
      <c r="H42" t="inlineStr">
        <is>
          <t>1.020</t>
        </is>
      </c>
      <c r="I42" t="inlineStr">
        <is>
          <t>0.001560</t>
        </is>
      </c>
      <c r="J42" t="inlineStr">
        <is>
          <t>0.001560</t>
        </is>
      </c>
      <c r="K42" t="inlineStr">
        <is>
          <t>0.004681</t>
        </is>
      </c>
      <c r="L42" t="inlineStr">
        <is>
          <t>127.600</t>
        </is>
      </c>
      <c r="M42" t="inlineStr">
        <is>
          <t>0.000</t>
        </is>
      </c>
      <c r="N42" t="inlineStr">
        <is>
          <t>0.000</t>
        </is>
      </c>
      <c r="O42" t="inlineStr">
        <is>
          <t>30</t>
        </is>
      </c>
      <c r="P42" t="inlineStr">
        <is>
          <t>5.97252</t>
        </is>
      </c>
      <c r="Q42" t="inlineStr">
        <is>
          <t>5.97252</t>
        </is>
      </c>
      <c r="R42" t="inlineStr">
        <is>
          <t>0.00000</t>
        </is>
      </c>
    </row>
    <row r="43">
      <c r="A43">
        <f>"00850034049656"</f>
        <v/>
      </c>
      <c r="B43" t="inlineStr">
        <is>
          <t>B604A111</t>
        </is>
      </c>
      <c r="C43" t="inlineStr">
        <is>
          <t>16091410727</t>
        </is>
      </c>
      <c r="D43" t="inlineStr">
        <is>
          <t>Govee DreamView G1 Pro Gaming Light</t>
        </is>
      </c>
      <c r="E43" t="inlineStr">
        <is>
          <t>17.500</t>
        </is>
      </c>
      <c r="F43" t="inlineStr">
        <is>
          <t>8.300</t>
        </is>
      </c>
      <c r="G43" t="inlineStr">
        <is>
          <t>6.250</t>
        </is>
      </c>
      <c r="H43" t="inlineStr">
        <is>
          <t>4.130</t>
        </is>
      </c>
      <c r="I43" t="inlineStr">
        <is>
          <t>0.013134</t>
        </is>
      </c>
      <c r="J43" t="inlineStr">
        <is>
          <t>0.013134</t>
        </is>
      </c>
      <c r="K43" t="inlineStr">
        <is>
          <t>0.039402</t>
        </is>
      </c>
      <c r="L43" t="inlineStr">
        <is>
          <t>21.267</t>
        </is>
      </c>
      <c r="M43" t="inlineStr">
        <is>
          <t>0.000</t>
        </is>
      </c>
      <c r="N43" t="inlineStr">
        <is>
          <t>0.000</t>
        </is>
      </c>
      <c r="O43" t="inlineStr">
        <is>
          <t>30</t>
        </is>
      </c>
      <c r="P43" t="inlineStr">
        <is>
          <t>8.37940</t>
        </is>
      </c>
      <c r="Q43" t="inlineStr">
        <is>
          <t>8.37940</t>
        </is>
      </c>
      <c r="R43" t="inlineStr">
        <is>
          <t>0.00000</t>
        </is>
      </c>
    </row>
    <row r="44">
      <c r="A44">
        <f>"00850034049458"</f>
        <v/>
      </c>
      <c r="B44" t="inlineStr">
        <is>
          <t>H8604A12</t>
        </is>
      </c>
      <c r="C44" t="inlineStr">
        <is>
          <t>15379304132</t>
        </is>
      </c>
      <c r="D44" t="inlineStr">
        <is>
          <t>Govee Smart AI Sync Box with 1 HDMI For Gaming, Supports 8K@60Hz, 4K@144Hz, VRR and ALLM, Works with Matter and Alexa, RGBIC LED Light Strip for 55-65 inch TVs, 75 LEDs/m</t>
        </is>
      </c>
      <c r="E44" t="inlineStr">
        <is>
          <t>13.150</t>
        </is>
      </c>
      <c r="F44" t="inlineStr">
        <is>
          <t>8.100</t>
        </is>
      </c>
      <c r="G44" t="inlineStr">
        <is>
          <t>3.550</t>
        </is>
      </c>
      <c r="H44" t="inlineStr">
        <is>
          <t>3.840</t>
        </is>
      </c>
      <c r="I44" t="inlineStr">
        <is>
          <t>0.005471</t>
        </is>
      </c>
      <c r="J44" t="inlineStr">
        <is>
          <t>0.005471</t>
        </is>
      </c>
      <c r="K44" t="inlineStr">
        <is>
          <t>0.016412</t>
        </is>
      </c>
      <c r="L44" t="inlineStr">
        <is>
          <t>0.033</t>
        </is>
      </c>
      <c r="M44" t="inlineStr">
        <is>
          <t>0.000</t>
        </is>
      </c>
      <c r="N44" t="inlineStr">
        <is>
          <t>0.000</t>
        </is>
      </c>
      <c r="O44" t="inlineStr">
        <is>
          <t>30</t>
        </is>
      </c>
      <c r="P44" t="inlineStr">
        <is>
          <t>0.00547</t>
        </is>
      </c>
      <c r="Q44" t="inlineStr">
        <is>
          <t>0.00547</t>
        </is>
      </c>
      <c r="R44" t="inlineStr">
        <is>
          <t>0.00000</t>
        </is>
      </c>
    </row>
    <row r="45">
      <c r="A45">
        <f>"00850034049632"</f>
        <v/>
      </c>
      <c r="B45" t="inlineStr">
        <is>
          <t>H61A1AD1</t>
        </is>
      </c>
      <c r="C45" t="inlineStr">
        <is>
          <t>1737392332</t>
        </is>
      </c>
      <c r="D45" t="inlineStr">
        <is>
          <t>Govee RGBIC Neon Rope LED Light - 64 Scene Modes, 11 Music Modes - 6.5 Ft, Multicolor</t>
        </is>
      </c>
      <c r="E45" t="inlineStr">
        <is>
          <t>7.900</t>
        </is>
      </c>
      <c r="F45" t="inlineStr">
        <is>
          <t>7.700</t>
        </is>
      </c>
      <c r="G45" t="inlineStr">
        <is>
          <t>3.250</t>
        </is>
      </c>
      <c r="H45" t="inlineStr">
        <is>
          <t>1.450</t>
        </is>
      </c>
      <c r="I45" t="inlineStr">
        <is>
          <t>0.002860</t>
        </is>
      </c>
      <c r="J45" t="inlineStr">
        <is>
          <t>0.002860</t>
        </is>
      </c>
      <c r="K45" t="inlineStr">
        <is>
          <t>0.008581</t>
        </is>
      </c>
      <c r="L45" t="inlineStr">
        <is>
          <t>51.467</t>
        </is>
      </c>
      <c r="M45" t="inlineStr">
        <is>
          <t>0.000</t>
        </is>
      </c>
      <c r="N45" t="inlineStr">
        <is>
          <t>0.000</t>
        </is>
      </c>
      <c r="O45" t="inlineStr">
        <is>
          <t>30</t>
        </is>
      </c>
      <c r="P45" t="inlineStr">
        <is>
          <t>2.47265</t>
        </is>
      </c>
      <c r="Q45" t="inlineStr">
        <is>
          <t>4.41616</t>
        </is>
      </c>
      <c r="R45" t="inlineStr">
        <is>
          <t>1.94351</t>
        </is>
      </c>
    </row>
    <row r="46">
      <c r="A46">
        <f>"00850034049236"</f>
        <v/>
      </c>
      <c r="B46" t="inlineStr">
        <is>
          <t>H6119AA1</t>
        </is>
      </c>
      <c r="C46" t="inlineStr">
        <is>
          <t>465140785</t>
        </is>
      </c>
      <c r="D46" t="inlineStr">
        <is>
          <t>Govee Interior Car LED Lights,RGBIC Color Changing Effect,Smart APP Control,4 Music Mode,4 Pack,0.98 Ft</t>
        </is>
      </c>
      <c r="E46" t="inlineStr">
        <is>
          <t>14.350</t>
        </is>
      </c>
      <c r="F46" t="inlineStr">
        <is>
          <t>3.400</t>
        </is>
      </c>
      <c r="G46" t="inlineStr">
        <is>
          <t>1.750</t>
        </is>
      </c>
      <c r="H46" t="inlineStr">
        <is>
          <t>0.770</t>
        </is>
      </c>
      <c r="I46" t="inlineStr">
        <is>
          <t>0.001235</t>
        </is>
      </c>
      <c r="J46" t="inlineStr">
        <is>
          <t>0.001235</t>
        </is>
      </c>
      <c r="K46" t="inlineStr">
        <is>
          <t>0.003706</t>
        </is>
      </c>
      <c r="L46" t="inlineStr">
        <is>
          <t>84.867</t>
        </is>
      </c>
      <c r="M46" t="inlineStr">
        <is>
          <t>0.000</t>
        </is>
      </c>
      <c r="N46" t="inlineStr">
        <is>
          <t>0.000</t>
        </is>
      </c>
      <c r="O46" t="inlineStr">
        <is>
          <t>30</t>
        </is>
      </c>
      <c r="P46" t="inlineStr">
        <is>
          <t>3.14502</t>
        </is>
      </c>
      <c r="Q46" t="inlineStr">
        <is>
          <t>3.14502</t>
        </is>
      </c>
      <c r="R46" t="inlineStr">
        <is>
          <t>0.00000</t>
        </is>
      </c>
    </row>
    <row r="47">
      <c r="A47">
        <f>"00850061998170"</f>
        <v/>
      </c>
      <c r="B47" t="inlineStr">
        <is>
          <t>H8022AD1</t>
        </is>
      </c>
      <c r="C47" t="inlineStr">
        <is>
          <t>13498112968</t>
        </is>
      </c>
      <c r="D47" t="inlineStr">
        <is>
          <t>Govee Smart Table Lamp Bedside Lamp - RGBIC Color Changing, Dimmable, Touch Sensor</t>
        </is>
      </c>
      <c r="E47" t="inlineStr">
        <is>
          <t>4.650</t>
        </is>
      </c>
      <c r="F47" t="inlineStr">
        <is>
          <t>11.350</t>
        </is>
      </c>
      <c r="G47" t="inlineStr">
        <is>
          <t>0.850</t>
        </is>
      </c>
      <c r="H47" t="inlineStr">
        <is>
          <t>1.850</t>
        </is>
      </c>
      <c r="I47" t="inlineStr">
        <is>
          <t>0.000649</t>
        </is>
      </c>
      <c r="J47" t="inlineStr">
        <is>
          <t>0.000649</t>
        </is>
      </c>
      <c r="K47" t="inlineStr">
        <is>
          <t>0.001947</t>
        </is>
      </c>
      <c r="L47" t="inlineStr">
        <is>
          <t>177.967</t>
        </is>
      </c>
      <c r="M47" t="inlineStr">
        <is>
          <t>0.000</t>
        </is>
      </c>
      <c r="N47" t="inlineStr">
        <is>
          <t>0.000</t>
        </is>
      </c>
      <c r="O47" t="inlineStr">
        <is>
          <t>30</t>
        </is>
      </c>
      <c r="P47" t="inlineStr">
        <is>
          <t>1.98473</t>
        </is>
      </c>
      <c r="Q47" t="inlineStr">
        <is>
          <t>3.46517</t>
        </is>
      </c>
      <c r="R47" t="inlineStr">
        <is>
          <t>1.48043</t>
        </is>
      </c>
    </row>
    <row r="48">
      <c r="A48">
        <f>"00850061998927"</f>
        <v/>
      </c>
      <c r="B48" t="inlineStr">
        <is>
          <t>A806A002</t>
        </is>
      </c>
      <c r="C48" t="inlineStr">
        <is>
          <t>20063815182</t>
        </is>
      </c>
      <c r="D48" t="inlineStr">
        <is>
          <t>Govee White Permanent Outdoor Lights Pro Driver Module</t>
        </is>
      </c>
      <c r="E48" t="inlineStr">
        <is>
          <t>5.940</t>
        </is>
      </c>
      <c r="F48" t="inlineStr">
        <is>
          <t>2.640</t>
        </is>
      </c>
      <c r="G48" t="inlineStr">
        <is>
          <t>2.360</t>
        </is>
      </c>
      <c r="H48" t="inlineStr">
        <is>
          <t>0.800</t>
        </is>
      </c>
      <c r="I48" t="inlineStr">
        <is>
          <t>0.000535</t>
        </is>
      </c>
      <c r="J48" t="inlineStr">
        <is>
          <t>0.000535</t>
        </is>
      </c>
      <c r="K48" t="inlineStr">
        <is>
          <t>0.001606</t>
        </is>
      </c>
      <c r="L48" t="inlineStr">
        <is>
          <t>29.933</t>
        </is>
      </c>
      <c r="M48" t="inlineStr">
        <is>
          <t>0.000</t>
        </is>
      </c>
      <c r="N48" t="inlineStr">
        <is>
          <t>0.000</t>
        </is>
      </c>
      <c r="O48" t="inlineStr">
        <is>
          <t>30</t>
        </is>
      </c>
      <c r="P48" t="inlineStr">
        <is>
          <t>0.48081</t>
        </is>
      </c>
      <c r="Q48" t="inlineStr">
        <is>
          <t>0.48081</t>
        </is>
      </c>
      <c r="R48" t="inlineStr">
        <is>
          <t>0.00000</t>
        </is>
      </c>
    </row>
    <row r="49">
      <c r="A49">
        <f>"06974316998730"</f>
        <v/>
      </c>
      <c r="B49" t="inlineStr">
        <is>
          <t>H60991D2</t>
        </is>
      </c>
      <c r="C49" t="inlineStr">
        <is>
          <t>17659464510</t>
        </is>
      </c>
      <c r="D49" t="inlineStr">
        <is>
          <t>Govee TV Backlight 3 Lite for 75-85 inch TVs, Extra Warm White Light Providing Better Theater Experience, Smart Control Indoor TV Light</t>
        </is>
      </c>
      <c r="E49" t="inlineStr">
        <is>
          <t>11.500</t>
        </is>
      </c>
      <c r="F49" t="inlineStr">
        <is>
          <t>8.500</t>
        </is>
      </c>
      <c r="G49" t="inlineStr">
        <is>
          <t>3.550</t>
        </is>
      </c>
      <c r="H49" t="inlineStr">
        <is>
          <t>2.250</t>
        </is>
      </c>
      <c r="I49" t="inlineStr">
        <is>
          <t>0.005020</t>
        </is>
      </c>
      <c r="J49" t="inlineStr">
        <is>
          <t>0.005020</t>
        </is>
      </c>
      <c r="K49" t="inlineStr">
        <is>
          <t>0.015061</t>
        </is>
      </c>
      <c r="L49" t="inlineStr">
        <is>
          <t>329.533</t>
        </is>
      </c>
      <c r="M49" t="inlineStr">
        <is>
          <t>0.000</t>
        </is>
      </c>
      <c r="N49" t="inlineStr">
        <is>
          <t>0.000</t>
        </is>
      </c>
      <c r="O49" t="inlineStr">
        <is>
          <t>30</t>
        </is>
      </c>
      <c r="P49" t="inlineStr">
        <is>
          <t>29.12268</t>
        </is>
      </c>
      <c r="Q49" t="inlineStr">
        <is>
          <t>50.89545</t>
        </is>
      </c>
      <c r="R49" t="inlineStr">
        <is>
          <t>21.77277</t>
        </is>
      </c>
    </row>
    <row r="50">
      <c r="A50">
        <f>"00810211390261"</f>
        <v/>
      </c>
      <c r="B50" t="inlineStr">
        <is>
          <t>M5112A01</t>
        </is>
      </c>
      <c r="C50" t="inlineStr">
        <is>
          <t>19856300108</t>
        </is>
      </c>
      <c r="D50" t="inlineStr">
        <is>
          <t>GoveeLife Smart Refrigerator Thermometer Pro with Smart Gateway 1s</t>
        </is>
      </c>
      <c r="E50" t="inlineStr">
        <is>
          <t>8.650</t>
        </is>
      </c>
      <c r="F50" t="inlineStr">
        <is>
          <t>7.250</t>
        </is>
      </c>
      <c r="G50" t="inlineStr">
        <is>
          <t>4.300</t>
        </is>
      </c>
      <c r="H50" t="inlineStr">
        <is>
          <t>0.850</t>
        </is>
      </c>
      <c r="I50" t="inlineStr">
        <is>
          <t>0.003901</t>
        </is>
      </c>
      <c r="J50" t="inlineStr">
        <is>
          <t>0.003901</t>
        </is>
      </c>
      <c r="K50" t="inlineStr">
        <is>
          <t>0.011704</t>
        </is>
      </c>
      <c r="L50" t="inlineStr">
        <is>
          <t>215.000</t>
        </is>
      </c>
      <c r="M50" t="inlineStr">
        <is>
          <t>0.000</t>
        </is>
      </c>
      <c r="N50" t="inlineStr">
        <is>
          <t>0.000</t>
        </is>
      </c>
      <c r="O50" t="inlineStr">
        <is>
          <t>30</t>
        </is>
      </c>
      <c r="P50" t="inlineStr">
        <is>
          <t>25.16394</t>
        </is>
      </c>
      <c r="Q50" t="inlineStr">
        <is>
          <t>25.16394</t>
        </is>
      </c>
      <c r="R50" t="inlineStr">
        <is>
          <t>0.00000</t>
        </is>
      </c>
    </row>
    <row r="51">
      <c r="A51">
        <f>"00850061998590"</f>
        <v/>
      </c>
      <c r="B51" t="inlineStr">
        <is>
          <t>H6020AF1</t>
        </is>
      </c>
      <c r="C51" t="inlineStr">
        <is>
          <t>17125257848</t>
        </is>
      </c>
      <c r="D51" t="inlineStr">
        <is>
          <t>Govee Table Lamp 2 Pro x Sound by JBL, Smart Cordless Table Lamp with Speaker, Music-Light Sync, 16 Music Modes &amp; 100+ Scene Modes, Work with Matter, DIY Customized Rechargeable Desk Lamp for Bedroom</t>
        </is>
      </c>
      <c r="E51" t="inlineStr">
        <is>
          <t>13.450</t>
        </is>
      </c>
      <c r="F51" t="inlineStr">
        <is>
          <t>7.500</t>
        </is>
      </c>
      <c r="G51" t="inlineStr">
        <is>
          <t>7.500</t>
        </is>
      </c>
      <c r="H51" t="inlineStr">
        <is>
          <t>5.300</t>
        </is>
      </c>
      <c r="I51" t="inlineStr">
        <is>
          <t>0.010946</t>
        </is>
      </c>
      <c r="J51" t="inlineStr">
        <is>
          <t>0.010946</t>
        </is>
      </c>
      <c r="K51" t="inlineStr">
        <is>
          <t>0.032837</t>
        </is>
      </c>
      <c r="L51" t="inlineStr">
        <is>
          <t>115.100</t>
        </is>
      </c>
      <c r="M51" t="inlineStr">
        <is>
          <t>0.000</t>
        </is>
      </c>
      <c r="N51" t="inlineStr">
        <is>
          <t>0.000</t>
        </is>
      </c>
      <c r="O51" t="inlineStr">
        <is>
          <t>30</t>
        </is>
      </c>
      <c r="P51" t="inlineStr">
        <is>
          <t>21.45892</t>
        </is>
      </c>
      <c r="Q51" t="inlineStr">
        <is>
          <t>37.79529</t>
        </is>
      </c>
      <c r="R51" t="inlineStr">
        <is>
          <t>16.33636</t>
        </is>
      </c>
    </row>
    <row r="52">
      <c r="A52">
        <f>"00810211390803"</f>
        <v/>
      </c>
      <c r="B52" t="inlineStr">
        <is>
          <t>H1270101</t>
        </is>
      </c>
      <c r="C52" t="inlineStr">
        <is>
          <t>19889824476</t>
        </is>
      </c>
      <c r="D52" t="inlineStr">
        <is>
          <t>Govee Ceiling Light Ultra 21 Inch, 5000LM Smart Flush Mount Ceiling Light Fixture, Compatible with Matter &amp; Alexa, RGBIC &amp; Tunable White 2700K-6500K, DIY Ceiling Canvas for Bedroom, Living Room</t>
        </is>
      </c>
      <c r="E52" t="inlineStr">
        <is>
          <t>4.500</t>
        </is>
      </c>
      <c r="F52" t="inlineStr">
        <is>
          <t>23.500</t>
        </is>
      </c>
      <c r="G52" t="inlineStr">
        <is>
          <t>23.000</t>
        </is>
      </c>
      <c r="H52" t="inlineStr">
        <is>
          <t>17.000</t>
        </is>
      </c>
      <c r="I52" t="inlineStr">
        <is>
          <t>0.035189</t>
        </is>
      </c>
      <c r="J52" t="inlineStr">
        <is>
          <t>0.035189</t>
        </is>
      </c>
      <c r="K52" t="inlineStr">
        <is>
          <t>0.105566</t>
        </is>
      </c>
      <c r="L52" t="inlineStr">
        <is>
          <t>16.367</t>
        </is>
      </c>
      <c r="M52" t="inlineStr">
        <is>
          <t>0.000</t>
        </is>
      </c>
      <c r="N52" t="inlineStr">
        <is>
          <t>0.000</t>
        </is>
      </c>
      <c r="O52" t="inlineStr">
        <is>
          <t>30</t>
        </is>
      </c>
      <c r="P52" t="inlineStr">
        <is>
          <t>17.27770</t>
        </is>
      </c>
      <c r="Q52" t="inlineStr">
        <is>
          <t>17.27770</t>
        </is>
      </c>
      <c r="R52" t="inlineStr">
        <is>
          <t>0.00000</t>
        </is>
      </c>
    </row>
    <row r="53">
      <c r="A53">
        <f>"00810211390940"</f>
        <v/>
      </c>
      <c r="B53" t="inlineStr">
        <is>
          <t>H3001011</t>
        </is>
      </c>
      <c r="C53" t="inlineStr">
        <is>
          <t>20005268229</t>
        </is>
      </c>
      <c r="D53" t="inlineStr">
        <is>
          <t>Govee Outdoor Solar String Lights</t>
        </is>
      </c>
      <c r="E53" t="inlineStr">
        <is>
          <t>18.550</t>
        </is>
      </c>
      <c r="F53" t="inlineStr">
        <is>
          <t>14.650</t>
        </is>
      </c>
      <c r="G53" t="inlineStr">
        <is>
          <t>6.950</t>
        </is>
      </c>
      <c r="H53" t="inlineStr">
        <is>
          <t>5.380</t>
        </is>
      </c>
      <c r="I53" t="inlineStr">
        <is>
          <t>0.027325</t>
        </is>
      </c>
      <c r="J53" t="inlineStr">
        <is>
          <t>0.027325</t>
        </is>
      </c>
      <c r="K53" t="inlineStr">
        <is>
          <t>0.081975</t>
        </is>
      </c>
      <c r="L53" t="inlineStr">
        <is>
          <t>33.433</t>
        </is>
      </c>
      <c r="M53" t="inlineStr">
        <is>
          <t>0.000</t>
        </is>
      </c>
      <c r="N53" t="inlineStr">
        <is>
          <t>0.000</t>
        </is>
      </c>
      <c r="O53" t="inlineStr">
        <is>
          <t>30</t>
        </is>
      </c>
      <c r="P53" t="inlineStr">
        <is>
          <t>27.40713</t>
        </is>
      </c>
      <c r="Q53" t="inlineStr">
        <is>
          <t>27.40713</t>
        </is>
      </c>
      <c r="R53" t="inlineStr">
        <is>
          <t>0.00000</t>
        </is>
      </c>
    </row>
    <row r="54">
      <c r="A54">
        <f>"00810211390568"</f>
        <v/>
      </c>
      <c r="B54" t="inlineStr">
        <is>
          <t>B5610011</t>
        </is>
      </c>
      <c r="C54" t="inlineStr">
        <is>
          <t>19420570612</t>
        </is>
      </c>
      <c r="D54" t="inlineStr">
        <is>
          <t>Wired BBQ Thermometer with Two Probes (Black) for WiFi</t>
        </is>
      </c>
      <c r="E54" t="inlineStr">
        <is>
          <t>7.900</t>
        </is>
      </c>
      <c r="F54" t="inlineStr">
        <is>
          <t>4.500</t>
        </is>
      </c>
      <c r="G54" t="inlineStr">
        <is>
          <t>2.450</t>
        </is>
      </c>
      <c r="H54" t="inlineStr">
        <is>
          <t>0.680</t>
        </is>
      </c>
      <c r="I54" t="inlineStr">
        <is>
          <t>0.001260</t>
        </is>
      </c>
      <c r="J54" t="inlineStr">
        <is>
          <t>0.001260</t>
        </is>
      </c>
      <c r="K54" t="inlineStr">
        <is>
          <t>0.003780</t>
        </is>
      </c>
      <c r="L54" t="inlineStr">
        <is>
          <t>48.333</t>
        </is>
      </c>
      <c r="M54" t="inlineStr">
        <is>
          <t>0.000</t>
        </is>
      </c>
      <c r="N54" t="inlineStr">
        <is>
          <t>0.000</t>
        </is>
      </c>
      <c r="O54" t="inlineStr">
        <is>
          <t>30</t>
        </is>
      </c>
      <c r="P54" t="inlineStr">
        <is>
          <t>1.82713</t>
        </is>
      </c>
      <c r="Q54" t="inlineStr">
        <is>
          <t>1.82713</t>
        </is>
      </c>
      <c r="R54" t="inlineStr">
        <is>
          <t>0.00000</t>
        </is>
      </c>
    </row>
    <row r="55">
      <c r="A55">
        <f>"00810211390544"</f>
        <v/>
      </c>
      <c r="B55" t="inlineStr">
        <is>
          <t>B1401102</t>
        </is>
      </c>
      <c r="C55" t="inlineStr">
        <is>
          <t>19386152248</t>
        </is>
      </c>
      <c r="D55" t="inlineStr">
        <is>
          <t>Govee 1600 Lumens Smart Light Bulbs, A21 LED Bulbs 100W Equivalent for Living Room, RGBWW Color Changing Light Bulbs Compatible with Matter, Alexa &amp; SmartThings, CRI 90, E26 Base, 2.4GHz Only, 2-Pack</t>
        </is>
      </c>
      <c r="E55" t="inlineStr">
        <is>
          <t>6.150</t>
        </is>
      </c>
      <c r="F55" t="inlineStr">
        <is>
          <t>7.500</t>
        </is>
      </c>
      <c r="G55" t="inlineStr">
        <is>
          <t>3.100</t>
        </is>
      </c>
      <c r="H55" t="inlineStr">
        <is>
          <t>1.120</t>
        </is>
      </c>
      <c r="I55" t="inlineStr">
        <is>
          <t>0.002069</t>
        </is>
      </c>
      <c r="J55" t="inlineStr">
        <is>
          <t>0.002069</t>
        </is>
      </c>
      <c r="K55" t="inlineStr">
        <is>
          <t>0.006206</t>
        </is>
      </c>
      <c r="L55" t="inlineStr">
        <is>
          <t>151.200</t>
        </is>
      </c>
      <c r="M55" t="inlineStr">
        <is>
          <t>0.000</t>
        </is>
      </c>
      <c r="N55" t="inlineStr">
        <is>
          <t>0.000</t>
        </is>
      </c>
      <c r="O55" t="inlineStr">
        <is>
          <t>30</t>
        </is>
      </c>
      <c r="P55" t="inlineStr">
        <is>
          <t>9.38355</t>
        </is>
      </c>
      <c r="Q55" t="inlineStr">
        <is>
          <t>9.38355</t>
        </is>
      </c>
      <c r="R55" t="inlineStr">
        <is>
          <t>0.00000</t>
        </is>
      </c>
    </row>
    <row r="56">
      <c r="A56">
        <f>"00810211390964"</f>
        <v/>
      </c>
      <c r="B56" t="inlineStr">
        <is>
          <t>B14A1102</t>
        </is>
      </c>
      <c r="C56" t="inlineStr">
        <is>
          <t>20022917553</t>
        </is>
      </c>
      <c r="D56" t="inlineStr">
        <is>
          <t>Govee PAR38 Flood Light Bulbs, 1300Lm Flood Lights Outdoor with IP65 Waterproof, Smart Light Bulbs Compatible with Alexa, Matter &amp; SmartThings, RGBWW &amp; Tunable White for Garage&amp;Porch, E26 Base, 2 Pac</t>
        </is>
      </c>
      <c r="E56" t="inlineStr">
        <is>
          <t>12.350</t>
        </is>
      </c>
      <c r="F56" t="inlineStr">
        <is>
          <t>9.150</t>
        </is>
      </c>
      <c r="G56" t="inlineStr">
        <is>
          <t>5.650</t>
        </is>
      </c>
      <c r="H56" t="inlineStr">
        <is>
          <t>1.990</t>
        </is>
      </c>
      <c r="I56" t="inlineStr">
        <is>
          <t>0.009237</t>
        </is>
      </c>
      <c r="J56" t="inlineStr">
        <is>
          <t>0.009237</t>
        </is>
      </c>
      <c r="K56" t="inlineStr">
        <is>
          <t>0.027711</t>
        </is>
      </c>
      <c r="L56" t="inlineStr">
        <is>
          <t>21.000</t>
        </is>
      </c>
      <c r="M56" t="inlineStr">
        <is>
          <t>0.000</t>
        </is>
      </c>
      <c r="N56" t="inlineStr">
        <is>
          <t>0.000</t>
        </is>
      </c>
      <c r="O56" t="inlineStr">
        <is>
          <t>30</t>
        </is>
      </c>
      <c r="P56" t="inlineStr">
        <is>
          <t>2.90967</t>
        </is>
      </c>
      <c r="Q56" t="inlineStr">
        <is>
          <t>5.81933</t>
        </is>
      </c>
      <c r="R56" t="inlineStr">
        <is>
          <t>2.90967</t>
        </is>
      </c>
    </row>
    <row r="57">
      <c r="A57">
        <f>"00850061998521"</f>
        <v/>
      </c>
      <c r="B57" t="inlineStr">
        <is>
          <t>B801AA04</t>
        </is>
      </c>
      <c r="C57" t="inlineStr">
        <is>
          <t>17342973229</t>
        </is>
      </c>
      <c r="D57" t="inlineStr">
        <is>
          <t>Govee 6inch Recessed Downlight Canless light 4pack</t>
        </is>
      </c>
      <c r="E57" t="inlineStr">
        <is>
          <t>7.500</t>
        </is>
      </c>
      <c r="F57" t="inlineStr">
        <is>
          <t>10.800</t>
        </is>
      </c>
      <c r="G57" t="inlineStr">
        <is>
          <t>7.500</t>
        </is>
      </c>
      <c r="H57" t="inlineStr">
        <is>
          <t>5.010</t>
        </is>
      </c>
      <c r="I57" t="inlineStr">
        <is>
          <t>0.008789</t>
        </is>
      </c>
      <c r="J57" t="inlineStr">
        <is>
          <t>0.008789</t>
        </is>
      </c>
      <c r="K57" t="inlineStr">
        <is>
          <t>0.026367</t>
        </is>
      </c>
      <c r="L57" t="inlineStr">
        <is>
          <t>45.700</t>
        </is>
      </c>
      <c r="M57" t="inlineStr">
        <is>
          <t>0.000</t>
        </is>
      </c>
      <c r="N57" t="inlineStr">
        <is>
          <t>0.000</t>
        </is>
      </c>
      <c r="O57" t="inlineStr">
        <is>
          <t>30</t>
        </is>
      </c>
      <c r="P57" t="inlineStr">
        <is>
          <t>12.04980</t>
        </is>
      </c>
      <c r="Q57" t="inlineStr">
        <is>
          <t>12.04980</t>
        </is>
      </c>
      <c r="R57" t="inlineStr">
        <is>
          <t>0.00000</t>
        </is>
      </c>
    </row>
    <row r="58">
      <c r="A58">
        <f>"00850076077341"</f>
        <v/>
      </c>
      <c r="B58" t="inlineStr">
        <is>
          <t>H6076193</t>
        </is>
      </c>
      <c r="C58" t="inlineStr">
        <is>
          <t>17677571114</t>
        </is>
      </c>
      <c r="D58" t="inlineStr">
        <is>
          <t>Govee RGBIC Floor Lamp Basic, LED Corner Lamp Works with Alexa, Smart Modern Floor Lamp with Music Sync and 16 Million DIY Colors, Color Changing Standing Lamp for Bedroom Living Room Blue</t>
        </is>
      </c>
      <c r="E58" t="inlineStr">
        <is>
          <t>16.800</t>
        </is>
      </c>
      <c r="F58" t="inlineStr">
        <is>
          <t>12.900</t>
        </is>
      </c>
      <c r="G58" t="inlineStr">
        <is>
          <t>5.600</t>
        </is>
      </c>
      <c r="H58" t="inlineStr">
        <is>
          <t>3.710</t>
        </is>
      </c>
      <c r="I58" t="inlineStr">
        <is>
          <t>0.017558</t>
        </is>
      </c>
      <c r="J58" t="inlineStr">
        <is>
          <t>0.017558</t>
        </is>
      </c>
      <c r="K58" t="inlineStr">
        <is>
          <t>0.052675</t>
        </is>
      </c>
      <c r="L58" t="inlineStr">
        <is>
          <t>21.133</t>
        </is>
      </c>
      <c r="M58" t="inlineStr">
        <is>
          <t>0.000</t>
        </is>
      </c>
      <c r="N58" t="inlineStr">
        <is>
          <t>0.000</t>
        </is>
      </c>
      <c r="O58" t="inlineStr">
        <is>
          <t>30</t>
        </is>
      </c>
      <c r="P58" t="inlineStr">
        <is>
          <t>5.56599</t>
        </is>
      </c>
      <c r="Q58" t="inlineStr">
        <is>
          <t>11.13198</t>
        </is>
      </c>
      <c r="R58" t="inlineStr">
        <is>
          <t>5.56599</t>
        </is>
      </c>
    </row>
    <row r="59">
      <c r="A59">
        <f>"00850061998682"</f>
        <v/>
      </c>
      <c r="B59" t="inlineStr">
        <is>
          <t>H8015A01</t>
        </is>
      </c>
      <c r="C59" t="inlineStr">
        <is>
          <t>17408218950</t>
        </is>
      </c>
      <c r="D59" t="inlineStr">
        <is>
          <t>Govee  800LM White Light LED Smart Bulb,Works with Alexa and Google Assistant,WiFi &amp; Bluetooth LED Light Bulbs,1 Pack</t>
        </is>
      </c>
      <c r="E59" t="inlineStr">
        <is>
          <t>2.600</t>
        </is>
      </c>
      <c r="F59" t="inlineStr">
        <is>
          <t>5.350</t>
        </is>
      </c>
      <c r="G59" t="inlineStr">
        <is>
          <t>2.550</t>
        </is>
      </c>
      <c r="H59" t="inlineStr">
        <is>
          <t>0.185</t>
        </is>
      </c>
      <c r="I59" t="inlineStr">
        <is>
          <t>0.000513</t>
        </is>
      </c>
      <c r="J59" t="inlineStr">
        <is>
          <t>0.000513</t>
        </is>
      </c>
      <c r="K59" t="inlineStr">
        <is>
          <t>0.001540</t>
        </is>
      </c>
      <c r="L59" t="inlineStr">
        <is>
          <t>28.833</t>
        </is>
      </c>
      <c r="M59" t="inlineStr">
        <is>
          <t>0.000</t>
        </is>
      </c>
      <c r="N59" t="inlineStr">
        <is>
          <t>0.000</t>
        </is>
      </c>
      <c r="O59" t="inlineStr">
        <is>
          <t>30</t>
        </is>
      </c>
      <c r="P59" t="inlineStr">
        <is>
          <t>0.71235</t>
        </is>
      </c>
      <c r="Q59" t="inlineStr">
        <is>
          <t>0.71235</t>
        </is>
      </c>
      <c r="R59" t="inlineStr">
        <is>
          <t>0.00000</t>
        </is>
      </c>
    </row>
    <row r="60">
      <c r="A60">
        <f>"00850076077280"</f>
        <v/>
      </c>
      <c r="B60" t="inlineStr">
        <is>
          <t>B70751D1</t>
        </is>
      </c>
      <c r="C60" t="inlineStr">
        <is>
          <t>17711755948</t>
        </is>
      </c>
      <c r="D60" t="inlineStr">
        <is>
          <t>Govee Outdoor Wall Light 2 pack</t>
        </is>
      </c>
      <c r="E60" t="inlineStr">
        <is>
          <t>17.950</t>
        </is>
      </c>
      <c r="F60" t="inlineStr">
        <is>
          <t>14.350</t>
        </is>
      </c>
      <c r="G60" t="inlineStr">
        <is>
          <t>5.050</t>
        </is>
      </c>
      <c r="H60" t="inlineStr">
        <is>
          <t>5.440</t>
        </is>
      </c>
      <c r="I60" t="inlineStr">
        <is>
          <t>0.018819</t>
        </is>
      </c>
      <c r="J60" t="inlineStr">
        <is>
          <t>0.018819</t>
        </is>
      </c>
      <c r="K60" t="inlineStr">
        <is>
          <t>0.056458</t>
        </is>
      </c>
      <c r="L60" t="inlineStr">
        <is>
          <t>114.067</t>
        </is>
      </c>
      <c r="M60" t="inlineStr">
        <is>
          <t>0.000</t>
        </is>
      </c>
      <c r="N60" t="inlineStr">
        <is>
          <t>0.000</t>
        </is>
      </c>
      <c r="O60" t="inlineStr">
        <is>
          <t>30</t>
        </is>
      </c>
      <c r="P60" t="inlineStr">
        <is>
          <t>64.39972</t>
        </is>
      </c>
      <c r="Q60" t="inlineStr">
        <is>
          <t>64.39972</t>
        </is>
      </c>
      <c r="R60" t="inlineStr">
        <is>
          <t>0.00000</t>
        </is>
      </c>
    </row>
    <row r="61">
      <c r="A61">
        <f>"00850061998606"</f>
        <v/>
      </c>
      <c r="B61" t="inlineStr">
        <is>
          <t>H806AA01</t>
        </is>
      </c>
      <c r="C61" t="inlineStr">
        <is>
          <t>19191674511</t>
        </is>
      </c>
      <c r="D61" t="inlineStr">
        <is>
          <t>Govee 100ft White Permanent Outdoor Lights Pro</t>
        </is>
      </c>
      <c r="E61" t="inlineStr">
        <is>
          <t>13.750</t>
        </is>
      </c>
      <c r="F61" t="inlineStr">
        <is>
          <t>12.550</t>
        </is>
      </c>
      <c r="G61" t="inlineStr">
        <is>
          <t>11.350</t>
        </is>
      </c>
      <c r="H61" t="inlineStr">
        <is>
          <t>8.940</t>
        </is>
      </c>
      <c r="I61" t="inlineStr">
        <is>
          <t>0.028336</t>
        </is>
      </c>
      <c r="J61" t="inlineStr">
        <is>
          <t>0.028336</t>
        </is>
      </c>
      <c r="K61" t="inlineStr">
        <is>
          <t>0.085008</t>
        </is>
      </c>
      <c r="L61" t="inlineStr">
        <is>
          <t>553.333</t>
        </is>
      </c>
      <c r="M61" t="inlineStr">
        <is>
          <t>0.000</t>
        </is>
      </c>
      <c r="N61" t="inlineStr">
        <is>
          <t>0.000</t>
        </is>
      </c>
      <c r="O61" t="inlineStr">
        <is>
          <t>30</t>
        </is>
      </c>
      <c r="P61" t="inlineStr">
        <is>
          <t>470.37761</t>
        </is>
      </c>
      <c r="Q61" t="inlineStr">
        <is>
          <t>470.37761</t>
        </is>
      </c>
      <c r="R61" t="inlineStr">
        <is>
          <t>0.00000</t>
        </is>
      </c>
    </row>
    <row r="62">
      <c r="A62">
        <f>"00850061998064"</f>
        <v/>
      </c>
      <c r="B62" t="inlineStr">
        <is>
          <t>H80D1AD1</t>
        </is>
      </c>
      <c r="C62" t="inlineStr">
        <is>
          <t>13470119909</t>
        </is>
      </c>
      <c r="D62" t="inlineStr">
        <is>
          <t>Govee Smart RGBIC Christmas Icicle Lights,H80D1AD1,Holiday Decoration With Over 78 Preset Dynamic Scene Modes,Waterproof String Lights, Corded Electric,Matter,Google Control,32.8ft</t>
        </is>
      </c>
      <c r="E62" t="inlineStr">
        <is>
          <t>9.450</t>
        </is>
      </c>
      <c r="F62" t="inlineStr">
        <is>
          <t>14.300</t>
        </is>
      </c>
      <c r="G62" t="inlineStr">
        <is>
          <t>4.900</t>
        </is>
      </c>
      <c r="H62" t="inlineStr">
        <is>
          <t>3.500</t>
        </is>
      </c>
      <c r="I62" t="inlineStr">
        <is>
          <t>0.009580</t>
        </is>
      </c>
      <c r="J62" t="inlineStr">
        <is>
          <t>0.009580</t>
        </is>
      </c>
      <c r="K62" t="inlineStr">
        <is>
          <t>0.028740</t>
        </is>
      </c>
      <c r="L62" t="inlineStr">
        <is>
          <t>0.500</t>
        </is>
      </c>
      <c r="M62" t="inlineStr">
        <is>
          <t>0.000</t>
        </is>
      </c>
      <c r="N62" t="inlineStr">
        <is>
          <t>29.100</t>
        </is>
      </c>
      <c r="O62" t="inlineStr">
        <is>
          <t>30</t>
        </is>
      </c>
      <c r="P62" t="inlineStr">
        <is>
          <t>25.23341</t>
        </is>
      </c>
      <c r="Q62" t="inlineStr">
        <is>
          <t>25.23341</t>
        </is>
      </c>
      <c r="R62" t="inlineStr">
        <is>
          <t>0.00000</t>
        </is>
      </c>
    </row>
    <row r="63">
      <c r="A63">
        <f>"00850061998989"</f>
        <v/>
      </c>
      <c r="B63" t="inlineStr">
        <is>
          <t>H6048181</t>
        </is>
      </c>
      <c r="C63" t="inlineStr">
        <is>
          <t>17150312823</t>
        </is>
      </c>
      <c r="D63" t="inlineStr">
        <is>
          <t>Govee Smart Gaming Light Bars Pro</t>
        </is>
      </c>
      <c r="E63" t="inlineStr">
        <is>
          <t>4.000</t>
        </is>
      </c>
      <c r="F63" t="inlineStr">
        <is>
          <t>2.000</t>
        </is>
      </c>
      <c r="G63" t="inlineStr">
        <is>
          <t>1.000</t>
        </is>
      </c>
      <c r="H63" t="inlineStr">
        <is>
          <t>0.999</t>
        </is>
      </c>
      <c r="I63" t="inlineStr">
        <is>
          <t>0.000116</t>
        </is>
      </c>
      <c r="J63" t="inlineStr">
        <is>
          <t>0.000116</t>
        </is>
      </c>
      <c r="K63" t="inlineStr">
        <is>
          <t>0.000347</t>
        </is>
      </c>
      <c r="L63" t="inlineStr">
        <is>
          <t>9.667</t>
        </is>
      </c>
      <c r="M63" t="inlineStr">
        <is>
          <t>0.000</t>
        </is>
      </c>
      <c r="N63" t="inlineStr">
        <is>
          <t>0.000</t>
        </is>
      </c>
      <c r="O63" t="inlineStr">
        <is>
          <t>30</t>
        </is>
      </c>
      <c r="P63" t="inlineStr">
        <is>
          <t>0.03356</t>
        </is>
      </c>
      <c r="Q63" t="inlineStr">
        <is>
          <t>0.03356</t>
        </is>
      </c>
      <c r="R63" t="inlineStr">
        <is>
          <t>0.00000</t>
        </is>
      </c>
    </row>
    <row r="64">
      <c r="A64">
        <f>"00850034049892"</f>
        <v/>
      </c>
      <c r="B64" t="inlineStr">
        <is>
          <t>H7055A11</t>
        </is>
      </c>
      <c r="C64" t="inlineStr">
        <is>
          <t>7047174493</t>
        </is>
      </c>
      <c r="D64" t="inlineStr">
        <is>
          <t>Govee Wired Electric Outdoor Path Lights, RGBICWW, 4 Pack</t>
        </is>
      </c>
      <c r="E64" t="inlineStr">
        <is>
          <t>17.550</t>
        </is>
      </c>
      <c r="F64" t="inlineStr">
        <is>
          <t>13.050</t>
        </is>
      </c>
      <c r="G64" t="inlineStr">
        <is>
          <t>3.000</t>
        </is>
      </c>
      <c r="H64" t="inlineStr">
        <is>
          <t>5.190</t>
        </is>
      </c>
      <c r="I64" t="inlineStr">
        <is>
          <t>0.009940</t>
        </is>
      </c>
      <c r="J64" t="inlineStr">
        <is>
          <t>0.009940</t>
        </is>
      </c>
      <c r="K64" t="inlineStr">
        <is>
          <t>0.029821</t>
        </is>
      </c>
      <c r="L64" t="inlineStr">
        <is>
          <t>196.333</t>
        </is>
      </c>
      <c r="M64" t="inlineStr">
        <is>
          <t>0.000</t>
        </is>
      </c>
      <c r="N64" t="inlineStr">
        <is>
          <t>0.000</t>
        </is>
      </c>
      <c r="O64" t="inlineStr">
        <is>
          <t>30</t>
        </is>
      </c>
      <c r="P64" t="inlineStr">
        <is>
          <t>33.42469</t>
        </is>
      </c>
      <c r="Q64" t="inlineStr">
        <is>
          <t>58.54913</t>
        </is>
      </c>
      <c r="R64" t="inlineStr">
        <is>
          <t>25.12444</t>
        </is>
      </c>
    </row>
    <row r="65">
      <c r="A65">
        <f>"00850034049328"</f>
        <v/>
      </c>
      <c r="B65" t="inlineStr">
        <is>
          <t>H805BA01</t>
        </is>
      </c>
      <c r="C65" t="inlineStr">
        <is>
          <t>17302600594</t>
        </is>
      </c>
      <c r="D65" t="inlineStr">
        <is>
          <t>Govee Permanent Outdoor Light 2 (Elite), RGBICW 16  Million Colors Outside Lights with 100 preset modes,IP67 Waterproof,Holiday Decorations For Christmas,Google,Alexa Support,50ft,White</t>
        </is>
      </c>
      <c r="E65" t="inlineStr">
        <is>
          <t>12.850</t>
        </is>
      </c>
      <c r="F65" t="inlineStr">
        <is>
          <t>15.050</t>
        </is>
      </c>
      <c r="G65" t="inlineStr">
        <is>
          <t>6.200</t>
        </is>
      </c>
      <c r="H65" t="inlineStr">
        <is>
          <t>4.940</t>
        </is>
      </c>
      <c r="I65" t="inlineStr">
        <is>
          <t>0.017347</t>
        </is>
      </c>
      <c r="J65" t="inlineStr">
        <is>
          <t>0.017347</t>
        </is>
      </c>
      <c r="K65" t="inlineStr">
        <is>
          <t>0.052041</t>
        </is>
      </c>
      <c r="L65" t="inlineStr">
        <is>
          <t>390.200</t>
        </is>
      </c>
      <c r="M65" t="inlineStr">
        <is>
          <t>0.000</t>
        </is>
      </c>
      <c r="N65" t="inlineStr">
        <is>
          <t>0.000</t>
        </is>
      </c>
      <c r="O65" t="inlineStr">
        <is>
          <t>30</t>
        </is>
      </c>
      <c r="P65" t="inlineStr">
        <is>
          <t>115.58392</t>
        </is>
      </c>
      <c r="Q65" t="inlineStr">
        <is>
          <t>203.06548</t>
        </is>
      </c>
      <c r="R65" t="inlineStr">
        <is>
          <t>87.48157</t>
        </is>
      </c>
    </row>
    <row r="66">
      <c r="A66">
        <f>"00850034049687"</f>
        <v/>
      </c>
      <c r="B66" t="inlineStr">
        <is>
          <t>H1011AD1</t>
        </is>
      </c>
      <c r="C66" t="inlineStr">
        <is>
          <t>5628694622</t>
        </is>
      </c>
      <c r="D66" t="inlineStr">
        <is>
          <t>Govee 24.6' Wi-Fi RGBIC Strip Light with A19 Wi-Fi 1200LM RGBWW LED Smart Light Bulb, Dimmable, Color Changing, 85W Equivalent Bulbs</t>
        </is>
      </c>
      <c r="E66" t="inlineStr">
        <is>
          <t>8.900</t>
        </is>
      </c>
      <c r="F66" t="inlineStr">
        <is>
          <t>8.550</t>
        </is>
      </c>
      <c r="G66" t="inlineStr">
        <is>
          <t>4.350</t>
        </is>
      </c>
      <c r="H66" t="inlineStr">
        <is>
          <t>2.180</t>
        </is>
      </c>
      <c r="I66" t="inlineStr">
        <is>
          <t>0.004789</t>
        </is>
      </c>
      <c r="J66" t="inlineStr">
        <is>
          <t>0.004789</t>
        </is>
      </c>
      <c r="K66" t="inlineStr">
        <is>
          <t>0.014367</t>
        </is>
      </c>
      <c r="L66" t="inlineStr">
        <is>
          <t>48.333</t>
        </is>
      </c>
      <c r="M66" t="inlineStr">
        <is>
          <t>0.000</t>
        </is>
      </c>
      <c r="N66" t="inlineStr">
        <is>
          <t>0.000</t>
        </is>
      </c>
      <c r="O66" t="inlineStr">
        <is>
          <t>30</t>
        </is>
      </c>
      <c r="P66" t="inlineStr">
        <is>
          <t>6.94400</t>
        </is>
      </c>
      <c r="Q66" t="inlineStr">
        <is>
          <t>6.94400</t>
        </is>
      </c>
      <c r="R66" t="inlineStr">
        <is>
          <t>0.00000</t>
        </is>
      </c>
    </row>
    <row r="67">
      <c r="A67">
        <f>"00850034049489"</f>
        <v/>
      </c>
      <c r="B67" t="inlineStr">
        <is>
          <t>H805AA01</t>
        </is>
      </c>
      <c r="C67" t="inlineStr">
        <is>
          <t>14562614123</t>
        </is>
      </c>
      <c r="D67" t="inlineStr">
        <is>
          <t>Govee RGBIC WiFi Wireless Outdoor Permanent String Lights, 100ft, White</t>
        </is>
      </c>
      <c r="E67" t="inlineStr">
        <is>
          <t>15.950</t>
        </is>
      </c>
      <c r="F67" t="inlineStr">
        <is>
          <t>13.100</t>
        </is>
      </c>
      <c r="G67" t="inlineStr">
        <is>
          <t>6.650</t>
        </is>
      </c>
      <c r="H67" t="inlineStr">
        <is>
          <t>7.640</t>
        </is>
      </c>
      <c r="I67" t="inlineStr">
        <is>
          <t>0.020102</t>
        </is>
      </c>
      <c r="J67" t="inlineStr">
        <is>
          <t>0.020102</t>
        </is>
      </c>
      <c r="K67" t="inlineStr">
        <is>
          <t>0.060307</t>
        </is>
      </c>
      <c r="L67" t="inlineStr">
        <is>
          <t>2813.367</t>
        </is>
      </c>
      <c r="M67" t="inlineStr">
        <is>
          <t>0.000</t>
        </is>
      </c>
      <c r="N67" t="inlineStr">
        <is>
          <t>0.000</t>
        </is>
      </c>
      <c r="O67" t="inlineStr">
        <is>
          <t>30</t>
        </is>
      </c>
      <c r="P67" t="inlineStr">
        <is>
          <t>965.33172</t>
        </is>
      </c>
      <c r="Q67" t="inlineStr">
        <is>
          <t>1696.67043</t>
        </is>
      </c>
      <c r="R67" t="inlineStr">
        <is>
          <t>731.33871</t>
        </is>
      </c>
    </row>
    <row r="68">
      <c r="A68">
        <f>"00810211390452"</f>
        <v/>
      </c>
      <c r="B68" t="inlineStr">
        <is>
          <t>H1741011</t>
        </is>
      </c>
      <c r="C68" t="inlineStr">
        <is>
          <t>19579307960</t>
        </is>
      </c>
      <c r="D68" t="inlineStr">
        <is>
          <t>Govee Smart Cordless Table Lamp Classic, RGBIC Rechargeable Table Lamp for Bedroom, Living Room, Portable Desk Lamp Works with Matter, Alexa, LED Bedside Lamp with 72 Scenes Modes, Timer, 500lm</t>
        </is>
      </c>
      <c r="E68" t="inlineStr">
        <is>
          <t>13.350</t>
        </is>
      </c>
      <c r="F68" t="inlineStr">
        <is>
          <t>10.700</t>
        </is>
      </c>
      <c r="G68" t="inlineStr">
        <is>
          <t>4.200</t>
        </is>
      </c>
      <c r="H68" t="inlineStr">
        <is>
          <t>3.020</t>
        </is>
      </c>
      <c r="I68" t="inlineStr">
        <is>
          <t>0.008680</t>
        </is>
      </c>
      <c r="J68" t="inlineStr">
        <is>
          <t>0.008680</t>
        </is>
      </c>
      <c r="K68" t="inlineStr">
        <is>
          <t>0.026039</t>
        </is>
      </c>
      <c r="L68" t="inlineStr">
        <is>
          <t>10.933</t>
        </is>
      </c>
      <c r="M68" t="inlineStr">
        <is>
          <t>0.000</t>
        </is>
      </c>
      <c r="N68" t="inlineStr">
        <is>
          <t>0.000</t>
        </is>
      </c>
      <c r="O68" t="inlineStr">
        <is>
          <t>30</t>
        </is>
      </c>
      <c r="P68" t="inlineStr">
        <is>
          <t>2.84698</t>
        </is>
      </c>
      <c r="Q68" t="inlineStr">
        <is>
          <t>2.84698</t>
        </is>
      </c>
      <c r="R68" t="inlineStr">
        <is>
          <t>0.00000</t>
        </is>
      </c>
    </row>
    <row r="69">
      <c r="A69">
        <f>"00850076077730"</f>
        <v/>
      </c>
      <c r="B69" t="inlineStr">
        <is>
          <t>R1810Z11</t>
        </is>
      </c>
      <c r="C69" t="inlineStr">
        <is>
          <t>19629157900</t>
        </is>
      </c>
      <c r="D69" t="inlineStr">
        <is>
          <t>Govee Star Light Projector with 3 Aurora Flowing Effects, Works with Matter, Alexa and Google Assistant, 52 Scene Modes, 18 White Noise Options, LED Night Light Projector for Bedroom, Without Plug</t>
        </is>
      </c>
      <c r="E69" t="inlineStr">
        <is>
          <t>10.650</t>
        </is>
      </c>
      <c r="F69" t="inlineStr">
        <is>
          <t>7.550</t>
        </is>
      </c>
      <c r="G69" t="inlineStr">
        <is>
          <t>8.250</t>
        </is>
      </c>
      <c r="H69" t="inlineStr">
        <is>
          <t>3.080</t>
        </is>
      </c>
      <c r="I69" t="inlineStr">
        <is>
          <t>0.009597</t>
        </is>
      </c>
      <c r="J69" t="inlineStr">
        <is>
          <t>0.009597</t>
        </is>
      </c>
      <c r="K69" t="inlineStr">
        <is>
          <t>0.028792</t>
        </is>
      </c>
      <c r="L69" t="inlineStr">
        <is>
          <t>349.900</t>
        </is>
      </c>
      <c r="M69" t="inlineStr">
        <is>
          <t>0.000</t>
        </is>
      </c>
      <c r="N69" t="inlineStr">
        <is>
          <t>0.000</t>
        </is>
      </c>
      <c r="O69" t="inlineStr">
        <is>
          <t>30</t>
        </is>
      </c>
      <c r="P69" t="inlineStr">
        <is>
          <t>57.35316</t>
        </is>
      </c>
      <c r="Q69" t="inlineStr">
        <is>
          <t>100.74233</t>
        </is>
      </c>
      <c r="R69" t="inlineStr">
        <is>
          <t>43.38916</t>
        </is>
      </c>
    </row>
    <row r="70">
      <c r="A70">
        <f>"00810211390230"</f>
        <v/>
      </c>
      <c r="B70" t="inlineStr">
        <is>
          <t>R1310A11</t>
        </is>
      </c>
      <c r="C70" t="inlineStr">
        <is>
          <t>20051017944</t>
        </is>
      </c>
      <c r="D70" t="inlineStr">
        <is>
          <t>Govee Smart RGBWW+RGBICWW 52inch Fan Light</t>
        </is>
      </c>
      <c r="E70" t="inlineStr">
        <is>
          <t>24.900</t>
        </is>
      </c>
      <c r="F70" t="inlineStr">
        <is>
          <t>13.750</t>
        </is>
      </c>
      <c r="G70" t="inlineStr">
        <is>
          <t>9.800</t>
        </is>
      </c>
      <c r="H70" t="inlineStr">
        <is>
          <t>18.700</t>
        </is>
      </c>
      <c r="I70" t="inlineStr">
        <is>
          <t>0.048543</t>
        </is>
      </c>
      <c r="J70" t="inlineStr">
        <is>
          <t>0.048543</t>
        </is>
      </c>
      <c r="K70" t="inlineStr">
        <is>
          <t>0.145628</t>
        </is>
      </c>
      <c r="L70" t="inlineStr">
        <is>
          <t>5.000</t>
        </is>
      </c>
      <c r="M70" t="inlineStr">
        <is>
          <t>0.000</t>
        </is>
      </c>
      <c r="N70" t="inlineStr">
        <is>
          <t>0.000</t>
        </is>
      </c>
      <c r="O70" t="inlineStr">
        <is>
          <t>30</t>
        </is>
      </c>
      <c r="P70" t="inlineStr">
        <is>
          <t>7.28141</t>
        </is>
      </c>
      <c r="Q70" t="inlineStr">
        <is>
          <t>7.28141</t>
        </is>
      </c>
      <c r="R70" t="inlineStr">
        <is>
          <t>0.00000</t>
        </is>
      </c>
    </row>
    <row r="71">
      <c r="A71">
        <f>"00810211390513"</f>
        <v/>
      </c>
      <c r="B71" t="inlineStr">
        <is>
          <t>H3501111</t>
        </is>
      </c>
      <c r="C71" t="inlineStr">
        <is>
          <t>19561461363</t>
        </is>
      </c>
      <c r="D71" t="inlineStr">
        <is>
          <t>Govee Outdoor Pathway Lights 2 Lite8pack</t>
        </is>
      </c>
      <c r="E71" t="inlineStr">
        <is>
          <t>16.000</t>
        </is>
      </c>
      <c r="F71" t="inlineStr">
        <is>
          <t>10.250</t>
        </is>
      </c>
      <c r="G71" t="inlineStr">
        <is>
          <t>6.750</t>
        </is>
      </c>
      <c r="H71" t="inlineStr">
        <is>
          <t>9.430</t>
        </is>
      </c>
      <c r="I71" t="inlineStr">
        <is>
          <t>0.016016</t>
        </is>
      </c>
      <c r="J71" t="inlineStr">
        <is>
          <t>0.016016</t>
        </is>
      </c>
      <c r="K71" t="inlineStr">
        <is>
          <t>0.048047</t>
        </is>
      </c>
      <c r="L71" t="inlineStr">
        <is>
          <t>26.300</t>
        </is>
      </c>
      <c r="M71" t="inlineStr">
        <is>
          <t>0.000</t>
        </is>
      </c>
      <c r="N71" t="inlineStr">
        <is>
          <t>0.000</t>
        </is>
      </c>
      <c r="O71" t="inlineStr">
        <is>
          <t>30</t>
        </is>
      </c>
      <c r="P71" t="inlineStr">
        <is>
          <t>12.63633</t>
        </is>
      </c>
      <c r="Q71" t="inlineStr">
        <is>
          <t>12.63633</t>
        </is>
      </c>
      <c r="R71" t="inlineStr">
        <is>
          <t>0.00000</t>
        </is>
      </c>
    </row>
    <row r="72">
      <c r="A72">
        <f>"00850076077334"</f>
        <v/>
      </c>
      <c r="B72" t="inlineStr">
        <is>
          <t>H6076183</t>
        </is>
      </c>
      <c r="C72" t="inlineStr">
        <is>
          <t>17716014489</t>
        </is>
      </c>
      <c r="D72" t="inlineStr">
        <is>
          <t>Govee RGBIC Floor Lamp Basic, led Corner Lamp Works with Alexa, Smart Modern Floor Lamp with Music Sync and 16 Million diy Colors, Color Changing Standing Lamp for Bedroom Living Room</t>
        </is>
      </c>
      <c r="E72" t="inlineStr">
        <is>
          <t>14.650</t>
        </is>
      </c>
      <c r="F72" t="inlineStr">
        <is>
          <t>12.500</t>
        </is>
      </c>
      <c r="G72" t="inlineStr">
        <is>
          <t>1.200</t>
        </is>
      </c>
      <c r="H72" t="inlineStr">
        <is>
          <t>3.690</t>
        </is>
      </c>
      <c r="I72" t="inlineStr">
        <is>
          <t>0.003179</t>
        </is>
      </c>
      <c r="J72" t="inlineStr">
        <is>
          <t>0.003179</t>
        </is>
      </c>
      <c r="K72" t="inlineStr">
        <is>
          <t>0.009538</t>
        </is>
      </c>
      <c r="L72" t="inlineStr">
        <is>
          <t>23.000</t>
        </is>
      </c>
      <c r="M72" t="inlineStr">
        <is>
          <t>0.000</t>
        </is>
      </c>
      <c r="N72" t="inlineStr">
        <is>
          <t>0.000</t>
        </is>
      </c>
      <c r="O72" t="inlineStr">
        <is>
          <t>30</t>
        </is>
      </c>
      <c r="P72" t="inlineStr">
        <is>
          <t>1.09684</t>
        </is>
      </c>
      <c r="Q72" t="inlineStr">
        <is>
          <t>2.19368</t>
        </is>
      </c>
      <c r="R72" t="inlineStr">
        <is>
          <t>1.09684</t>
        </is>
      </c>
    </row>
    <row r="73">
      <c r="A73">
        <f>"00850076077075"</f>
        <v/>
      </c>
      <c r="B73" t="inlineStr">
        <is>
          <t>H60991D1</t>
        </is>
      </c>
      <c r="C73" t="inlineStr">
        <is>
          <t>17542366815</t>
        </is>
      </c>
      <c r="D73" t="inlineStr">
        <is>
          <t>Govee RGBICW TV Backlight 3 Lite - For 55-65 Inch TVs - Black</t>
        </is>
      </c>
      <c r="E73" t="inlineStr">
        <is>
          <t>9.200</t>
        </is>
      </c>
      <c r="F73" t="inlineStr">
        <is>
          <t>8.850</t>
        </is>
      </c>
      <c r="G73" t="inlineStr">
        <is>
          <t>3.350</t>
        </is>
      </c>
      <c r="H73" t="inlineStr">
        <is>
          <t>1.680</t>
        </is>
      </c>
      <c r="I73" t="inlineStr">
        <is>
          <t>0.003946</t>
        </is>
      </c>
      <c r="J73" t="inlineStr">
        <is>
          <t>0.003946</t>
        </is>
      </c>
      <c r="K73" t="inlineStr">
        <is>
          <t>0.011838</t>
        </is>
      </c>
      <c r="L73" t="inlineStr">
        <is>
          <t>890.000</t>
        </is>
      </c>
      <c r="M73" t="inlineStr">
        <is>
          <t>0.000</t>
        </is>
      </c>
      <c r="N73" t="inlineStr">
        <is>
          <t>0.000</t>
        </is>
      </c>
      <c r="O73" t="inlineStr">
        <is>
          <t>30</t>
        </is>
      </c>
      <c r="P73" t="inlineStr">
        <is>
          <t>57.69253</t>
        </is>
      </c>
      <c r="Q73" t="inlineStr">
        <is>
          <t>105.36186</t>
        </is>
      </c>
      <c r="R73" t="inlineStr">
        <is>
          <t>47.66934</t>
        </is>
      </c>
    </row>
    <row r="74">
      <c r="A74">
        <f>"00850061998613"</f>
        <v/>
      </c>
      <c r="B74" t="inlineStr">
        <is>
          <t>H806AA11</t>
        </is>
      </c>
      <c r="C74" t="inlineStr">
        <is>
          <t>19264707358</t>
        </is>
      </c>
      <c r="D74" t="inlineStr">
        <is>
          <t>Govee 100ft Black Permanent Outdoor Lights Pro</t>
        </is>
      </c>
      <c r="E74" t="inlineStr">
        <is>
          <t>11.800</t>
        </is>
      </c>
      <c r="F74" t="inlineStr">
        <is>
          <t>7.200</t>
        </is>
      </c>
      <c r="G74" t="inlineStr">
        <is>
          <t>11.400</t>
        </is>
      </c>
      <c r="H74" t="inlineStr">
        <is>
          <t>8.960</t>
        </is>
      </c>
      <c r="I74" t="inlineStr">
        <is>
          <t>0.014013</t>
        </is>
      </c>
      <c r="J74" t="inlineStr">
        <is>
          <t>0.014013</t>
        </is>
      </c>
      <c r="K74" t="inlineStr">
        <is>
          <t>0.042038</t>
        </is>
      </c>
      <c r="L74" t="inlineStr">
        <is>
          <t>279.667</t>
        </is>
      </c>
      <c r="M74" t="inlineStr">
        <is>
          <t>0.000</t>
        </is>
      </c>
      <c r="N74" t="inlineStr">
        <is>
          <t>0.000</t>
        </is>
      </c>
      <c r="O74" t="inlineStr">
        <is>
          <t>30</t>
        </is>
      </c>
      <c r="P74" t="inlineStr">
        <is>
          <t>115.32690</t>
        </is>
      </c>
      <c r="Q74" t="inlineStr">
        <is>
          <t>115.32690</t>
        </is>
      </c>
      <c r="R74" t="inlineStr">
        <is>
          <t>0.00000</t>
        </is>
      </c>
    </row>
    <row r="75">
      <c r="A75">
        <f>"00850034049755"</f>
        <v/>
      </c>
      <c r="B75" t="inlineStr">
        <is>
          <t>B6009AC3</t>
        </is>
      </c>
      <c r="C75" t="inlineStr">
        <is>
          <t>5541528646</t>
        </is>
      </c>
      <c r="D75" t="inlineStr">
        <is>
          <t>Govee A19 Wi-Fi 1200LM RGBWW LED Smart Light Bulb,  Wi-Fi &amp; Bluetooth Light Bulbs, Dimmable, Color Changing, 85W Equivalent Bulbs,4 packs</t>
        </is>
      </c>
      <c r="E75" t="inlineStr">
        <is>
          <t>5.050</t>
        </is>
      </c>
      <c r="F75" t="inlineStr">
        <is>
          <t>5.050</t>
        </is>
      </c>
      <c r="G75" t="inlineStr">
        <is>
          <t>5.850</t>
        </is>
      </c>
      <c r="H75" t="inlineStr">
        <is>
          <t>1.850</t>
        </is>
      </c>
      <c r="I75" t="inlineStr">
        <is>
          <t>0.002158</t>
        </is>
      </c>
      <c r="J75" t="inlineStr">
        <is>
          <t>0.002158</t>
        </is>
      </c>
      <c r="K75" t="inlineStr">
        <is>
          <t>0.006475</t>
        </is>
      </c>
      <c r="L75" t="inlineStr">
        <is>
          <t>44.533</t>
        </is>
      </c>
      <c r="M75" t="inlineStr">
        <is>
          <t>0.000</t>
        </is>
      </c>
      <c r="N75" t="inlineStr">
        <is>
          <t>0.000</t>
        </is>
      </c>
      <c r="O75" t="inlineStr">
        <is>
          <t>30</t>
        </is>
      </c>
      <c r="P75" t="inlineStr">
        <is>
          <t>2.88364</t>
        </is>
      </c>
      <c r="Q75" t="inlineStr">
        <is>
          <t>2.88364</t>
        </is>
      </c>
      <c r="R75" t="inlineStr">
        <is>
          <t>0.00000</t>
        </is>
      </c>
    </row>
    <row r="76">
      <c r="A76">
        <f>"00850061998071"</f>
        <v/>
      </c>
      <c r="B76" t="inlineStr">
        <is>
          <t>B6011AC1</t>
        </is>
      </c>
      <c r="C76" t="inlineStr">
        <is>
          <t>13420756355</t>
        </is>
      </c>
      <c r="D76" t="inlineStr">
        <is>
          <t>Govee 1000LM RGBWW Smart BR30 LED Smart Bulb 2 Pack,16 million Color Options For Color Changing Effect</t>
        </is>
      </c>
      <c r="E76" t="inlineStr">
        <is>
          <t>8.050</t>
        </is>
      </c>
      <c r="F76" t="inlineStr">
        <is>
          <t>6.100</t>
        </is>
      </c>
      <c r="G76" t="inlineStr">
        <is>
          <t>4.150</t>
        </is>
      </c>
      <c r="H76" t="inlineStr">
        <is>
          <t>0.880</t>
        </is>
      </c>
      <c r="I76" t="inlineStr">
        <is>
          <t>0.002948</t>
        </is>
      </c>
      <c r="J76" t="inlineStr">
        <is>
          <t>0.002948</t>
        </is>
      </c>
      <c r="K76" t="inlineStr">
        <is>
          <t>0.008845</t>
        </is>
      </c>
      <c r="L76" t="inlineStr">
        <is>
          <t>77.933</t>
        </is>
      </c>
      <c r="M76" t="inlineStr">
        <is>
          <t>0.000</t>
        </is>
      </c>
      <c r="N76" t="inlineStr">
        <is>
          <t>0.000</t>
        </is>
      </c>
      <c r="O76" t="inlineStr">
        <is>
          <t>30</t>
        </is>
      </c>
      <c r="P76" t="inlineStr">
        <is>
          <t>6.89310</t>
        </is>
      </c>
      <c r="Q76" t="inlineStr">
        <is>
          <t>6.89310</t>
        </is>
      </c>
      <c r="R76" t="inlineStr">
        <is>
          <t>0.00000</t>
        </is>
      </c>
    </row>
    <row r="77">
      <c r="A77">
        <f>"00850076077808"</f>
        <v/>
      </c>
      <c r="B77" t="inlineStr">
        <is>
          <t>B14C11C2</t>
        </is>
      </c>
      <c r="C77" t="inlineStr">
        <is>
          <t>19904471366</t>
        </is>
      </c>
      <c r="D77" t="inlineStr">
        <is>
          <t>Govee E26 Smart Edison Light Bulb G25 500lm</t>
        </is>
      </c>
      <c r="E77" t="inlineStr">
        <is>
          <t>10.200</t>
        </is>
      </c>
      <c r="F77" t="inlineStr">
        <is>
          <t>10.750</t>
        </is>
      </c>
      <c r="G77" t="inlineStr">
        <is>
          <t>5.550</t>
        </is>
      </c>
      <c r="H77" t="inlineStr">
        <is>
          <t>0.680</t>
        </is>
      </c>
      <c r="I77" t="inlineStr">
        <is>
          <t>0.008804</t>
        </is>
      </c>
      <c r="J77" t="inlineStr">
        <is>
          <t>0.008804</t>
        </is>
      </c>
      <c r="K77" t="inlineStr">
        <is>
          <t>0.026413</t>
        </is>
      </c>
      <c r="L77" t="inlineStr">
        <is>
          <t>241.400</t>
        </is>
      </c>
      <c r="M77" t="inlineStr">
        <is>
          <t>0.000</t>
        </is>
      </c>
      <c r="N77" t="inlineStr">
        <is>
          <t>0.000</t>
        </is>
      </c>
      <c r="O77" t="inlineStr">
        <is>
          <t>30</t>
        </is>
      </c>
      <c r="P77" t="inlineStr">
        <is>
          <t>34.36783</t>
        </is>
      </c>
      <c r="Q77" t="inlineStr">
        <is>
          <t>63.76119</t>
        </is>
      </c>
      <c r="R77" t="inlineStr">
        <is>
          <t>29.39336</t>
        </is>
      </c>
    </row>
    <row r="78">
      <c r="A78">
        <f>"00810211390384"</f>
        <v/>
      </c>
      <c r="B78" t="inlineStr">
        <is>
          <t>R1630A01</t>
        </is>
      </c>
      <c r="C78" t="inlineStr">
        <is>
          <t>19944219682</t>
        </is>
      </c>
      <c r="D78" t="inlineStr">
        <is>
          <t>Govee Lantern Floor Lamp, Halo Gradient RGBIC Smart Corner Lamp with LuminBlend, 1000K-10000K, Matter Compatible, 100+Scene Modes, Music Sync, 1400lm, Modern Floor Lamps for Living Room, Bedroom,Whit</t>
        </is>
      </c>
      <c r="E78" t="inlineStr">
        <is>
          <t>17.130</t>
        </is>
      </c>
      <c r="F78" t="inlineStr">
        <is>
          <t>12.010</t>
        </is>
      </c>
      <c r="G78" t="inlineStr">
        <is>
          <t>7.600</t>
        </is>
      </c>
      <c r="H78" t="inlineStr">
        <is>
          <t>9.700</t>
        </is>
      </c>
      <c r="I78" t="inlineStr">
        <is>
          <t>0.022621</t>
        </is>
      </c>
      <c r="J78" t="inlineStr">
        <is>
          <t>0.022621</t>
        </is>
      </c>
      <c r="K78" t="inlineStr">
        <is>
          <t>0.067863</t>
        </is>
      </c>
      <c r="L78" t="inlineStr">
        <is>
          <t>25.967</t>
        </is>
      </c>
      <c r="M78" t="inlineStr">
        <is>
          <t>0.000</t>
        </is>
      </c>
      <c r="N78" t="inlineStr">
        <is>
          <t>0.000</t>
        </is>
      </c>
      <c r="O78" t="inlineStr">
        <is>
          <t>30</t>
        </is>
      </c>
      <c r="P78" t="inlineStr">
        <is>
          <t>13.54462</t>
        </is>
      </c>
      <c r="Q78" t="inlineStr">
        <is>
          <t>27.08923</t>
        </is>
      </c>
      <c r="R78" t="inlineStr">
        <is>
          <t>13.54462</t>
        </is>
      </c>
    </row>
    <row r="79">
      <c r="A79">
        <f>"00810211390360"</f>
        <v/>
      </c>
      <c r="B79" t="inlineStr">
        <is>
          <t>H16C0111</t>
        </is>
      </c>
      <c r="C79" t="inlineStr">
        <is>
          <t>19962650742</t>
        </is>
      </c>
      <c r="D79" t="inlineStr">
        <is>
          <t>Govee Floor Lamp 3 Lite, Smart RGBIC LED Corner Lamp Compatible with Alexa, SmartThings, Matter, 1400lm Dimmable Color Changing Tall Standing Light with Music Sync for Living Room Bedroom Gaming Room</t>
        </is>
      </c>
      <c r="E79" t="inlineStr">
        <is>
          <t>19.950</t>
        </is>
      </c>
      <c r="F79" t="inlineStr">
        <is>
          <t>16.150</t>
        </is>
      </c>
      <c r="G79" t="inlineStr">
        <is>
          <t>7.750</t>
        </is>
      </c>
      <c r="H79" t="inlineStr">
        <is>
          <t>6.180</t>
        </is>
      </c>
      <c r="I79" t="inlineStr">
        <is>
          <t>0.036125</t>
        </is>
      </c>
      <c r="J79" t="inlineStr">
        <is>
          <t>0.036125</t>
        </is>
      </c>
      <c r="K79" t="inlineStr">
        <is>
          <t>0.108376</t>
        </is>
      </c>
      <c r="L79" t="inlineStr">
        <is>
          <t>12.767</t>
        </is>
      </c>
      <c r="M79" t="inlineStr">
        <is>
          <t>0.000</t>
        </is>
      </c>
      <c r="N79" t="inlineStr">
        <is>
          <t>0.000</t>
        </is>
      </c>
      <c r="O79" t="inlineStr">
        <is>
          <t>30</t>
        </is>
      </c>
      <c r="P79" t="inlineStr">
        <is>
          <t>8.07404</t>
        </is>
      </c>
      <c r="Q79" t="inlineStr">
        <is>
          <t>13.83605</t>
        </is>
      </c>
      <c r="R79" t="inlineStr">
        <is>
          <t>5.76201</t>
        </is>
      </c>
    </row>
    <row r="80">
      <c r="A80">
        <f>"00810211390506"</f>
        <v/>
      </c>
      <c r="B80" t="inlineStr">
        <is>
          <t>H3500111-1</t>
        </is>
      </c>
      <c r="C80" t="inlineStr">
        <is>
          <t>19673204637</t>
        </is>
      </c>
      <c r="D80" t="inlineStr">
        <is>
          <t>Govee Outdoor Pathway Lights 2 Lite4pack</t>
        </is>
      </c>
      <c r="E80" t="inlineStr">
        <is>
          <t>16.900</t>
        </is>
      </c>
      <c r="F80" t="inlineStr">
        <is>
          <t>14.350</t>
        </is>
      </c>
      <c r="G80" t="inlineStr">
        <is>
          <t>4.000</t>
        </is>
      </c>
      <c r="H80" t="inlineStr">
        <is>
          <t>5.270</t>
        </is>
      </c>
      <c r="I80" t="inlineStr">
        <is>
          <t>0.014034</t>
        </is>
      </c>
      <c r="J80" t="inlineStr">
        <is>
          <t>0.014034</t>
        </is>
      </c>
      <c r="K80" t="inlineStr">
        <is>
          <t>0.042103</t>
        </is>
      </c>
      <c r="L80" t="inlineStr">
        <is>
          <t>38.467</t>
        </is>
      </c>
      <c r="M80" t="inlineStr">
        <is>
          <t>0.000</t>
        </is>
      </c>
      <c r="N80" t="inlineStr">
        <is>
          <t>0.000</t>
        </is>
      </c>
      <c r="O80" t="inlineStr">
        <is>
          <t>30</t>
        </is>
      </c>
      <c r="P80" t="inlineStr">
        <is>
          <t>16.19574</t>
        </is>
      </c>
      <c r="Q80" t="inlineStr">
        <is>
          <t>16.19574</t>
        </is>
      </c>
      <c r="R80" t="inlineStr">
        <is>
          <t>0.00000</t>
        </is>
      </c>
    </row>
    <row r="81">
      <c r="A81">
        <f>"00850034049618"</f>
        <v/>
      </c>
      <c r="B81" t="inlineStr">
        <is>
          <t>H6098AD3</t>
        </is>
      </c>
      <c r="C81" t="inlineStr">
        <is>
          <t>5150283692</t>
        </is>
      </c>
      <c r="D81" t="inlineStr">
        <is>
          <t>Govee Netflix DreamView T3S Smart TV Backlight (11.8ft) for 55-65 inch TVs, Voice Control, Smart Camera</t>
        </is>
      </c>
      <c r="E81" t="inlineStr">
        <is>
          <t>7.350</t>
        </is>
      </c>
      <c r="F81" t="inlineStr">
        <is>
          <t>6.900</t>
        </is>
      </c>
      <c r="G81" t="inlineStr">
        <is>
          <t>4.100</t>
        </is>
      </c>
      <c r="H81" t="inlineStr">
        <is>
          <t>1.510</t>
        </is>
      </c>
      <c r="I81" t="inlineStr">
        <is>
          <t>0.003008</t>
        </is>
      </c>
      <c r="J81" t="inlineStr">
        <is>
          <t>0.003008</t>
        </is>
      </c>
      <c r="K81" t="inlineStr">
        <is>
          <t>0.009025</t>
        </is>
      </c>
      <c r="L81" t="inlineStr">
        <is>
          <t>0.000</t>
        </is>
      </c>
      <c r="M81" t="inlineStr">
        <is>
          <t>0.000</t>
        </is>
      </c>
      <c r="N81" t="inlineStr">
        <is>
          <t>7.733</t>
        </is>
      </c>
      <c r="O81" t="inlineStr">
        <is>
          <t>30</t>
        </is>
      </c>
      <c r="P81" t="inlineStr">
        <is>
          <t>2.09375</t>
        </is>
      </c>
      <c r="Q81" t="inlineStr">
        <is>
          <t>2.09375</t>
        </is>
      </c>
      <c r="R81" t="inlineStr">
        <is>
          <t>0.00000</t>
        </is>
      </c>
    </row>
    <row r="82">
      <c r="A82">
        <f>"00850076077662"</f>
        <v/>
      </c>
      <c r="B82" t="inlineStr">
        <is>
          <t>B70761D1</t>
        </is>
      </c>
      <c r="C82" t="inlineStr">
        <is>
          <t>17886162136</t>
        </is>
      </c>
      <c r="D82" t="inlineStr">
        <is>
          <t>Govee Outdoor UpDown Wall Light</t>
        </is>
      </c>
      <c r="E82" t="inlineStr">
        <is>
          <t>17.750</t>
        </is>
      </c>
      <c r="F82" t="inlineStr">
        <is>
          <t>15.900</t>
        </is>
      </c>
      <c r="G82" t="inlineStr">
        <is>
          <t>5.850</t>
        </is>
      </c>
      <c r="H82" t="inlineStr">
        <is>
          <t>8.790</t>
        </is>
      </c>
      <c r="I82" t="inlineStr">
        <is>
          <t>0.023886</t>
        </is>
      </c>
      <c r="J82" t="inlineStr">
        <is>
          <t>0.023886</t>
        </is>
      </c>
      <c r="K82" t="inlineStr">
        <is>
          <t>0.071659</t>
        </is>
      </c>
      <c r="L82" t="inlineStr">
        <is>
          <t>28.900</t>
        </is>
      </c>
      <c r="M82" t="inlineStr">
        <is>
          <t>0.000</t>
        </is>
      </c>
      <c r="N82" t="inlineStr">
        <is>
          <t>0.000</t>
        </is>
      </c>
      <c r="O82" t="inlineStr">
        <is>
          <t>30</t>
        </is>
      </c>
      <c r="P82" t="inlineStr">
        <is>
          <t>11.93117</t>
        </is>
      </c>
      <c r="Q82" t="inlineStr">
        <is>
          <t>20.70936</t>
        </is>
      </c>
      <c r="R82" t="inlineStr">
        <is>
          <t>8.77819</t>
        </is>
      </c>
    </row>
    <row r="83">
      <c r="A83">
        <f>"00810211390469"</f>
        <v/>
      </c>
      <c r="B83" t="inlineStr">
        <is>
          <t>H605C112</t>
        </is>
      </c>
      <c r="C83" t="inlineStr">
        <is>
          <t>19282874312</t>
        </is>
      </c>
      <c r="D83" t="inlineStr">
        <is>
          <t>Govee Envisual TV Backlight T2, For 75-85 inch TVs, Dual Camera with High-Fidelity Color Sensing Technology</t>
        </is>
      </c>
      <c r="E83" t="inlineStr">
        <is>
          <t>12.150</t>
        </is>
      </c>
      <c r="F83" t="inlineStr">
        <is>
          <t>10.150</t>
        </is>
      </c>
      <c r="G83" t="inlineStr">
        <is>
          <t>4.750</t>
        </is>
      </c>
      <c r="H83" t="inlineStr">
        <is>
          <t>2.650</t>
        </is>
      </c>
      <c r="I83" t="inlineStr">
        <is>
          <t>0.008475</t>
        </is>
      </c>
      <c r="J83" t="inlineStr">
        <is>
          <t>0.008475</t>
        </is>
      </c>
      <c r="K83" t="inlineStr">
        <is>
          <t>0.025425</t>
        </is>
      </c>
      <c r="L83" t="inlineStr">
        <is>
          <t>12.800</t>
        </is>
      </c>
      <c r="M83" t="inlineStr">
        <is>
          <t>0.000</t>
        </is>
      </c>
      <c r="N83" t="inlineStr">
        <is>
          <t>0.000</t>
        </is>
      </c>
      <c r="O83" t="inlineStr">
        <is>
          <t>30</t>
        </is>
      </c>
      <c r="P83" t="inlineStr">
        <is>
          <t>3.25434</t>
        </is>
      </c>
      <c r="Q83" t="inlineStr">
        <is>
          <t>3.25434</t>
        </is>
      </c>
      <c r="R83" t="inlineStr">
        <is>
          <t>0.00000</t>
        </is>
      </c>
    </row>
    <row r="84">
      <c r="A84">
        <f>"00810211390001"</f>
        <v/>
      </c>
      <c r="B84" t="inlineStr">
        <is>
          <t>H8120111</t>
        </is>
      </c>
      <c r="C84" t="inlineStr">
        <is>
          <t>19081603229</t>
        </is>
      </c>
      <c r="D84" t="inlineStr">
        <is>
          <t>GoveeLife Smart Nugget Ice Maker Pro</t>
        </is>
      </c>
      <c r="E84" t="inlineStr">
        <is>
          <t>24.000</t>
        </is>
      </c>
      <c r="F84" t="inlineStr">
        <is>
          <t>14.000</t>
        </is>
      </c>
      <c r="G84" t="inlineStr">
        <is>
          <t>19.000</t>
        </is>
      </c>
      <c r="H84" t="inlineStr">
        <is>
          <t>35.000</t>
        </is>
      </c>
      <c r="I84" t="inlineStr">
        <is>
          <t>0.092361</t>
        </is>
      </c>
      <c r="J84" t="inlineStr">
        <is>
          <t>0.092361</t>
        </is>
      </c>
      <c r="K84" t="inlineStr">
        <is>
          <t>0.277083</t>
        </is>
      </c>
      <c r="L84" t="inlineStr">
        <is>
          <t>4.967</t>
        </is>
      </c>
      <c r="M84" t="inlineStr">
        <is>
          <t>0.000</t>
        </is>
      </c>
      <c r="N84" t="inlineStr">
        <is>
          <t>0.000</t>
        </is>
      </c>
      <c r="O84" t="inlineStr">
        <is>
          <t>30</t>
        </is>
      </c>
      <c r="P84" t="inlineStr">
        <is>
          <t>6.88090</t>
        </is>
      </c>
      <c r="Q84" t="inlineStr">
        <is>
          <t>13.76181</t>
        </is>
      </c>
      <c r="R84" t="inlineStr">
        <is>
          <t>6.88090</t>
        </is>
      </c>
    </row>
    <row r="85">
      <c r="A85">
        <f>"00810211390643"</f>
        <v/>
      </c>
      <c r="B85" t="inlineStr">
        <is>
          <t>H3200111</t>
        </is>
      </c>
      <c r="C85" t="inlineStr">
        <is>
          <t>19582813541</t>
        </is>
      </c>
      <c r="D85" t="inlineStr">
        <is>
          <t>Govee Outdoor Spotlights Lite 4 Pack, IP67 Waterproof Spotlights, RGBWIC Color Changing Light for Outdoor Decor, Patio Decor</t>
        </is>
      </c>
      <c r="E85" t="inlineStr">
        <is>
          <t>12.850</t>
        </is>
      </c>
      <c r="F85" t="inlineStr">
        <is>
          <t>16.800</t>
        </is>
      </c>
      <c r="G85" t="inlineStr">
        <is>
          <t>3.950</t>
        </is>
      </c>
      <c r="H85" t="inlineStr">
        <is>
          <t>3.350</t>
        </is>
      </c>
      <c r="I85" t="inlineStr">
        <is>
          <t>0.012337</t>
        </is>
      </c>
      <c r="J85" t="inlineStr">
        <is>
          <t>0.012337</t>
        </is>
      </c>
      <c r="K85" t="inlineStr">
        <is>
          <t>0.037011</t>
        </is>
      </c>
      <c r="L85" t="inlineStr">
        <is>
          <t>14.033</t>
        </is>
      </c>
      <c r="M85" t="inlineStr">
        <is>
          <t>0.000</t>
        </is>
      </c>
      <c r="N85" t="inlineStr">
        <is>
          <t>0.000</t>
        </is>
      </c>
      <c r="O85" t="inlineStr">
        <is>
          <t>30</t>
        </is>
      </c>
      <c r="P85" t="inlineStr">
        <is>
          <t>2.96702</t>
        </is>
      </c>
      <c r="Q85" t="inlineStr">
        <is>
          <t>5.19383</t>
        </is>
      </c>
      <c r="R85" t="inlineStr">
        <is>
          <t>2.22681</t>
        </is>
      </c>
    </row>
    <row r="86">
      <c r="A86">
        <f>"00810211390445"</f>
        <v/>
      </c>
      <c r="B86" t="inlineStr">
        <is>
          <t>H610A1D1</t>
        </is>
      </c>
      <c r="C86" t="inlineStr">
        <is>
          <t>19324107397</t>
        </is>
      </c>
      <c r="D86" t="inlineStr">
        <is>
          <t>Govee Glide Lively Wall Light</t>
        </is>
      </c>
      <c r="E86" t="inlineStr">
        <is>
          <t>7.170</t>
        </is>
      </c>
      <c r="F86" t="inlineStr">
        <is>
          <t>16.770</t>
        </is>
      </c>
      <c r="G86" t="inlineStr">
        <is>
          <t>2.360</t>
        </is>
      </c>
      <c r="H86" t="inlineStr">
        <is>
          <t>2.270</t>
        </is>
      </c>
      <c r="I86" t="inlineStr">
        <is>
          <t>0.004105</t>
        </is>
      </c>
      <c r="J86" t="inlineStr">
        <is>
          <t>0.004105</t>
        </is>
      </c>
      <c r="K86" t="inlineStr">
        <is>
          <t>0.012316</t>
        </is>
      </c>
      <c r="L86" t="inlineStr">
        <is>
          <t>28.200</t>
        </is>
      </c>
      <c r="M86" t="inlineStr">
        <is>
          <t>0.000</t>
        </is>
      </c>
      <c r="N86" t="inlineStr">
        <is>
          <t>0.000</t>
        </is>
      </c>
      <c r="O86" t="inlineStr">
        <is>
          <t>30</t>
        </is>
      </c>
      <c r="P86" t="inlineStr">
        <is>
          <t>3.47321</t>
        </is>
      </c>
      <c r="Q86" t="inlineStr">
        <is>
          <t>3.47321</t>
        </is>
      </c>
      <c r="R86" t="inlineStr">
        <is>
          <t>0.00000</t>
        </is>
      </c>
    </row>
    <row r="87">
      <c r="A87">
        <f>"00810211390025"</f>
        <v/>
      </c>
      <c r="B87" t="inlineStr">
        <is>
          <t>B14C11C4</t>
        </is>
      </c>
      <c r="C87" t="inlineStr">
        <is>
          <t>19924500540</t>
        </is>
      </c>
      <c r="D87" t="inlineStr">
        <is>
          <t>Govee E26 Smart Edison Light Bulb G25 500lm, 4 pack</t>
        </is>
      </c>
      <c r="E87" t="inlineStr">
        <is>
          <t>12.950</t>
        </is>
      </c>
      <c r="F87" t="inlineStr">
        <is>
          <t>11.550</t>
        </is>
      </c>
      <c r="G87" t="inlineStr">
        <is>
          <t>3.300</t>
        </is>
      </c>
      <c r="H87" t="inlineStr">
        <is>
          <t>1.200</t>
        </is>
      </c>
      <c r="I87" t="inlineStr">
        <is>
          <t>0.007141</t>
        </is>
      </c>
      <c r="J87" t="inlineStr">
        <is>
          <t>0.007141</t>
        </is>
      </c>
      <c r="K87" t="inlineStr">
        <is>
          <t>0.021423</t>
        </is>
      </c>
      <c r="L87" t="inlineStr">
        <is>
          <t>147.600</t>
        </is>
      </c>
      <c r="M87" t="inlineStr">
        <is>
          <t>0.000</t>
        </is>
      </c>
      <c r="N87" t="inlineStr">
        <is>
          <t>0.000</t>
        </is>
      </c>
      <c r="O87" t="inlineStr">
        <is>
          <t>30</t>
        </is>
      </c>
      <c r="P87" t="inlineStr">
        <is>
          <t>17.09567</t>
        </is>
      </c>
      <c r="Q87" t="inlineStr">
        <is>
          <t>31.62056</t>
        </is>
      </c>
      <c r="R87" t="inlineStr">
        <is>
          <t>14.52489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2026-06-10T06:41:57Z</dcterms:created>
  <dcterms:modified xsi:type="dcterms:W3CDTF">2026-06-10T06:41:57Z</dcterms:modified>
</cp:coreProperties>
</file>